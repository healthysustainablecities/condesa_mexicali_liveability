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rmiteduau-my.sharepoint.com/personal/carl_higgs_rmit_edu_au/Documents/projects/global-indicators/process/data/MX/Mexicali Liveability/"/>
    </mc:Choice>
  </mc:AlternateContent>
  <xr:revisionPtr revIDLastSave="120" documentId="8_{0C14C411-8AF4-43BB-B4D2-FDC2ECDBEE80}" xr6:coauthVersionLast="47" xr6:coauthVersionMax="47" xr10:uidLastSave="{0DF36582-0A67-4A2B-B385-1243897E3F6C}"/>
  <bookViews>
    <workbookView xWindow="-120" yWindow="-120" windowWidth="29040" windowHeight="16440" activeTab="2" xr2:uid="{FDBAD633-0A43-7C45-91A3-66A2521CDF2A}"/>
  </bookViews>
  <sheets>
    <sheet name="Indicators - Classified" sheetId="13" r:id="rId1"/>
    <sheet name="Lens - Enfoque" sheetId="15" r:id="rId2"/>
    <sheet name="Article list" sheetId="9" r:id="rId3"/>
    <sheet name="Safety &amp; Security" sheetId="1" state="hidden" r:id="rId4"/>
    <sheet name="Mobility &amp; Transport" sheetId="2" state="hidden" r:id="rId5"/>
    <sheet name="Built Environment" sheetId="3" state="hidden" r:id="rId6"/>
    <sheet name="Ambient Environment" sheetId="4" state="hidden" r:id="rId7"/>
    <sheet name="Housing" sheetId="5" state="hidden" r:id="rId8"/>
    <sheet name="Economic Development" sheetId="6" state="hidden" r:id="rId9"/>
    <sheet name="Social Infrastructure" sheetId="7" state="hidden" r:id="rId10"/>
    <sheet name="Sociodemographics" sheetId="8" state="hidden" r:id="rId11"/>
  </sheets>
  <definedNames>
    <definedName name="_xlnm._FilterDatabase" localSheetId="6" hidden="1">'Ambient Environment'!$A$1:$M$85</definedName>
    <definedName name="_xlnm._FilterDatabase" localSheetId="2" hidden="1">'Article list'!$A$1:$H$32</definedName>
    <definedName name="_xlnm._FilterDatabase" localSheetId="5" hidden="1">'Built Environment'!$A$1:$M$170</definedName>
    <definedName name="_xlnm._FilterDatabase" localSheetId="8" hidden="1">'Economic Development'!$A$1:$M$37</definedName>
    <definedName name="_xlnm._FilterDatabase" localSheetId="7" hidden="1">Housing!$A$1:$M$17</definedName>
    <definedName name="_xlnm._FilterDatabase" localSheetId="0" hidden="1">'Indicators - Classified'!$A$2:$AZ$84</definedName>
    <definedName name="_xlnm._FilterDatabase" localSheetId="4" hidden="1">'Mobility &amp; Transport'!$A$1:$P$68</definedName>
    <definedName name="_xlnm._FilterDatabase" localSheetId="3" hidden="1">'Safety &amp; Security'!$A$1:$P$38</definedName>
    <definedName name="_xlnm._FilterDatabase" localSheetId="9" hidden="1">'Social Infrastructure'!$A$1:$O$109</definedName>
    <definedName name="_xlnm._FilterDatabase" localSheetId="10" hidden="1">Sociodemographics!$A$1:$N$69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1" i="13" l="1"/>
  <c r="B84" i="13"/>
  <c r="B81" i="13"/>
  <c r="B80" i="13"/>
  <c r="B79" i="13"/>
  <c r="B78" i="13"/>
  <c r="B67" i="13"/>
  <c r="B70" i="13"/>
  <c r="B68" i="13"/>
  <c r="B69" i="13"/>
  <c r="B64" i="13"/>
  <c r="B63" i="13"/>
  <c r="B60" i="13"/>
  <c r="B62" i="13"/>
  <c r="B59" i="13"/>
  <c r="B49" i="13"/>
  <c r="B48" i="13"/>
  <c r="B45" i="13"/>
  <c r="B44" i="13"/>
  <c r="B42" i="13"/>
  <c r="B43" i="13"/>
  <c r="B41" i="13"/>
  <c r="B40" i="13"/>
  <c r="B38" i="13"/>
  <c r="B33" i="13"/>
  <c r="B34" i="13"/>
  <c r="B32" i="13"/>
  <c r="B31" i="13"/>
  <c r="B30" i="13"/>
  <c r="B47" i="13"/>
  <c r="B29" i="13"/>
  <c r="B28" i="13"/>
  <c r="B7" i="13"/>
  <c r="B6" i="13"/>
  <c r="B27" i="13"/>
  <c r="B22" i="13"/>
  <c r="B13" i="13"/>
  <c r="B12" i="13"/>
  <c r="B11" i="13"/>
  <c r="B8" i="13"/>
  <c r="B5" i="13"/>
  <c r="B10" i="13"/>
  <c r="B9" i="13"/>
  <c r="B4" i="13"/>
  <c r="B82" i="13"/>
  <c r="B76" i="13"/>
  <c r="B75" i="13"/>
  <c r="B74" i="13"/>
  <c r="B77" i="13"/>
  <c r="B73" i="13"/>
  <c r="B72" i="13"/>
  <c r="B56" i="13"/>
  <c r="B55" i="13"/>
  <c r="B52" i="13"/>
  <c r="B35" i="13"/>
  <c r="B23" i="13"/>
  <c r="B65" i="13"/>
  <c r="B58" i="13"/>
  <c r="B37" i="13"/>
  <c r="B71" i="13"/>
  <c r="B26" i="13"/>
  <c r="B25" i="13"/>
  <c r="B20" i="13"/>
  <c r="B19" i="13"/>
  <c r="B18" i="13"/>
  <c r="B53" i="13"/>
  <c r="B54" i="13"/>
  <c r="B50" i="13"/>
  <c r="B51" i="13"/>
  <c r="B39" i="13"/>
  <c r="B36" i="13"/>
  <c r="B24" i="13"/>
  <c r="B17" i="13"/>
  <c r="B21" i="13"/>
  <c r="B66" i="13"/>
  <c r="B16" i="13"/>
  <c r="B15" i="13"/>
  <c r="B14" i="13"/>
  <c r="AB2" i="13"/>
  <c r="N2" i="13"/>
  <c r="Y2" i="13"/>
  <c r="Z2" i="13"/>
  <c r="AA2" i="13"/>
  <c r="AC2" i="13"/>
  <c r="AD2" i="13"/>
  <c r="AE2" i="13"/>
  <c r="AF2" i="13"/>
  <c r="L2" i="13"/>
  <c r="M2" i="13"/>
  <c r="O2" i="13"/>
  <c r="B69" i="8" a="1"/>
  <c r="B69" i="8" s="1"/>
  <c r="B3" i="1" a="1"/>
  <c r="B3" i="1" s="1"/>
  <c r="B30" i="1" a="1"/>
  <c r="B30" i="1" s="1"/>
  <c r="B11" i="1" a="1"/>
  <c r="B11" i="1" s="1"/>
  <c r="B31" i="1" a="1"/>
  <c r="B31" i="1" s="1"/>
  <c r="B32" i="1" a="1"/>
  <c r="B32" i="1" s="1"/>
  <c r="B6" i="1" a="1"/>
  <c r="B6" i="1" s="1"/>
  <c r="B25" i="1" a="1"/>
  <c r="B25" i="1" s="1"/>
  <c r="B4" i="1" a="1"/>
  <c r="B4" i="1" s="1"/>
  <c r="B35" i="1" a="1"/>
  <c r="B35" i="1" s="1"/>
  <c r="B17" i="1" a="1"/>
  <c r="B17" i="1" s="1"/>
  <c r="B36" i="1" a="1"/>
  <c r="B36" i="1" s="1"/>
  <c r="B26" i="1" a="1"/>
  <c r="B26" i="1" s="1"/>
  <c r="B18" i="1" a="1"/>
  <c r="B18" i="1" s="1"/>
  <c r="B22" i="1" a="1"/>
  <c r="B22" i="1" s="1"/>
  <c r="B19" i="1" a="1"/>
  <c r="B19" i="1" s="1"/>
  <c r="B7" i="1" a="1"/>
  <c r="B7" i="1" s="1"/>
  <c r="B29" i="1" a="1"/>
  <c r="B29" i="1" s="1"/>
  <c r="B38" i="1" a="1"/>
  <c r="B38" i="1" s="1"/>
  <c r="B12" i="1" a="1"/>
  <c r="B12" i="1" s="1"/>
  <c r="B24" i="1" a="1"/>
  <c r="B24" i="1" s="1"/>
  <c r="B34" i="1" a="1"/>
  <c r="B34" i="1" s="1"/>
  <c r="B13" i="1" a="1"/>
  <c r="B13" i="1" s="1"/>
  <c r="B14" i="1" a="1"/>
  <c r="B14" i="1" s="1"/>
  <c r="B15" i="1" a="1"/>
  <c r="B15" i="1" s="1"/>
  <c r="B16" i="1" a="1"/>
  <c r="B16" i="1" s="1"/>
  <c r="B27" i="1" a="1"/>
  <c r="B27" i="1" s="1"/>
  <c r="B28" i="1" a="1"/>
  <c r="B28" i="1" s="1"/>
  <c r="B20" i="1" a="1"/>
  <c r="B20" i="1" s="1"/>
  <c r="B21" i="1" a="1"/>
  <c r="B21" i="1" s="1"/>
  <c r="B2" i="1" a="1"/>
  <c r="B2" i="1" s="1"/>
  <c r="B8" i="1" a="1"/>
  <c r="B8" i="1" s="1"/>
  <c r="B9" i="1" a="1"/>
  <c r="B9" i="1" s="1"/>
  <c r="B37" i="1" a="1"/>
  <c r="B37" i="1" s="1"/>
  <c r="B10" i="1" a="1"/>
  <c r="B10" i="1" s="1"/>
  <c r="B5" i="1" a="1"/>
  <c r="B5" i="1" s="1"/>
  <c r="B33" i="1" a="1"/>
  <c r="B33" i="1" s="1"/>
  <c r="B3" i="2" a="1"/>
  <c r="B3" i="2" s="1"/>
  <c r="B4" i="2" a="1"/>
  <c r="B4" i="2" s="1"/>
  <c r="B5" i="2" a="1"/>
  <c r="B5" i="2" s="1"/>
  <c r="B6" i="2" a="1"/>
  <c r="B6" i="2" s="1"/>
  <c r="B7" i="2" a="1"/>
  <c r="B7" i="2" s="1"/>
  <c r="B8" i="2" a="1"/>
  <c r="B8" i="2" s="1"/>
  <c r="B9" i="2" a="1"/>
  <c r="B9" i="2" s="1"/>
  <c r="B10" i="2" a="1"/>
  <c r="B10" i="2" s="1"/>
  <c r="B11" i="2" a="1"/>
  <c r="B11" i="2" s="1"/>
  <c r="B12" i="2" a="1"/>
  <c r="B12" i="2" s="1"/>
  <c r="B13" i="2" a="1"/>
  <c r="B13" i="2" s="1"/>
  <c r="B14" i="2" a="1"/>
  <c r="B14" i="2" s="1"/>
  <c r="B15" i="2" a="1"/>
  <c r="B15" i="2" s="1"/>
  <c r="B16" i="2" a="1"/>
  <c r="B16" i="2" s="1"/>
  <c r="B17" i="2" a="1"/>
  <c r="B17" i="2" s="1"/>
  <c r="B18" i="2" a="1"/>
  <c r="B18" i="2" s="1"/>
  <c r="B19" i="2" a="1"/>
  <c r="B19" i="2" s="1"/>
  <c r="B20" i="2" a="1"/>
  <c r="B20" i="2" s="1"/>
  <c r="B21" i="2" a="1"/>
  <c r="B21" i="2" s="1"/>
  <c r="B22" i="2" a="1"/>
  <c r="B22" i="2" s="1"/>
  <c r="B23" i="2" a="1"/>
  <c r="B23" i="2" s="1"/>
  <c r="B24" i="2" a="1"/>
  <c r="B24" i="2" s="1"/>
  <c r="B25" i="2" a="1"/>
  <c r="B25" i="2" s="1"/>
  <c r="B26" i="2" a="1"/>
  <c r="B26" i="2" s="1"/>
  <c r="B27" i="2" a="1"/>
  <c r="B27" i="2" s="1"/>
  <c r="B28" i="2" a="1"/>
  <c r="B28" i="2" s="1"/>
  <c r="B29" i="2" a="1"/>
  <c r="B29" i="2" s="1"/>
  <c r="B30" i="2" a="1"/>
  <c r="B30" i="2" s="1"/>
  <c r="B31" i="2" a="1"/>
  <c r="B31" i="2" s="1"/>
  <c r="B32" i="2" a="1"/>
  <c r="B32" i="2" s="1"/>
  <c r="B33" i="2" a="1"/>
  <c r="B33" i="2" s="1"/>
  <c r="B34" i="2" a="1"/>
  <c r="B34" i="2" s="1"/>
  <c r="B35" i="2" a="1"/>
  <c r="B35" i="2" s="1"/>
  <c r="B36" i="2" a="1"/>
  <c r="B36" i="2" s="1"/>
  <c r="B37" i="2" a="1"/>
  <c r="B37" i="2" s="1"/>
  <c r="B38" i="2" a="1"/>
  <c r="B38" i="2" s="1"/>
  <c r="B39" i="2" a="1"/>
  <c r="B39" i="2" s="1"/>
  <c r="B40" i="2" a="1"/>
  <c r="B40" i="2" s="1"/>
  <c r="B41" i="2" a="1"/>
  <c r="B41" i="2" s="1"/>
  <c r="B42" i="2" a="1"/>
  <c r="B42" i="2" s="1"/>
  <c r="B43" i="2" a="1"/>
  <c r="B43" i="2" s="1"/>
  <c r="B44" i="2" a="1"/>
  <c r="B44" i="2" s="1"/>
  <c r="B45" i="2" a="1"/>
  <c r="B45" i="2" s="1"/>
  <c r="B46" i="2" a="1"/>
  <c r="B46" i="2" s="1"/>
  <c r="B47" i="2" a="1"/>
  <c r="B47" i="2" s="1"/>
  <c r="B48" i="2" a="1"/>
  <c r="B48" i="2" s="1"/>
  <c r="B49" i="2" a="1"/>
  <c r="B49" i="2" s="1"/>
  <c r="B50" i="2" a="1"/>
  <c r="B50" i="2" s="1"/>
  <c r="B51" i="2" a="1"/>
  <c r="B51" i="2" s="1"/>
  <c r="B52" i="2" a="1"/>
  <c r="B52" i="2" s="1"/>
  <c r="B53" i="2" a="1"/>
  <c r="B53" i="2" s="1"/>
  <c r="B54" i="2" a="1"/>
  <c r="B54" i="2" s="1"/>
  <c r="B55" i="2" a="1"/>
  <c r="B55" i="2" s="1"/>
  <c r="B56" i="2" a="1"/>
  <c r="B56" i="2" s="1"/>
  <c r="B57" i="2" a="1"/>
  <c r="B57" i="2" s="1"/>
  <c r="B58" i="2" a="1"/>
  <c r="B58" i="2" s="1"/>
  <c r="B59" i="2" a="1"/>
  <c r="B59" i="2" s="1"/>
  <c r="B60" i="2" a="1"/>
  <c r="B60" i="2" s="1"/>
  <c r="B61" i="2" a="1"/>
  <c r="B61" i="2" s="1"/>
  <c r="B62" i="2" a="1"/>
  <c r="B62" i="2" s="1"/>
  <c r="B63" i="2" a="1"/>
  <c r="B63" i="2" s="1"/>
  <c r="B64" i="2" a="1"/>
  <c r="B64" i="2" s="1"/>
  <c r="B65" i="2" a="1"/>
  <c r="B65" i="2" s="1"/>
  <c r="B66" i="2" a="1"/>
  <c r="B66" i="2" s="1"/>
  <c r="B67" i="2" a="1"/>
  <c r="B67" i="2" s="1"/>
  <c r="B68" i="2" a="1"/>
  <c r="B68" i="2" s="1"/>
  <c r="B3" i="3" a="1"/>
  <c r="B3" i="3" s="1"/>
  <c r="B4" i="3" a="1"/>
  <c r="B4" i="3" s="1"/>
  <c r="B5" i="3" a="1"/>
  <c r="B5" i="3" s="1"/>
  <c r="B6" i="3" a="1"/>
  <c r="B6" i="3" s="1"/>
  <c r="B7" i="3" a="1"/>
  <c r="B7" i="3" s="1"/>
  <c r="B8" i="3" a="1"/>
  <c r="B8" i="3" s="1"/>
  <c r="B9" i="3" a="1"/>
  <c r="B9" i="3" s="1"/>
  <c r="B10" i="3" a="1"/>
  <c r="B10" i="3" s="1"/>
  <c r="B11" i="3" a="1"/>
  <c r="B11" i="3" s="1"/>
  <c r="B12" i="3" a="1"/>
  <c r="B12" i="3" s="1"/>
  <c r="B13" i="3" a="1"/>
  <c r="B13" i="3" s="1"/>
  <c r="B14" i="3" a="1"/>
  <c r="B14" i="3" s="1"/>
  <c r="B15" i="3" a="1"/>
  <c r="B15" i="3" s="1"/>
  <c r="B16" i="3" a="1"/>
  <c r="B16" i="3" s="1"/>
  <c r="B17" i="3" a="1"/>
  <c r="B17" i="3" s="1"/>
  <c r="B18" i="3" a="1"/>
  <c r="B18" i="3" s="1"/>
  <c r="B19" i="3" a="1"/>
  <c r="B19" i="3" s="1"/>
  <c r="B20" i="3" a="1"/>
  <c r="B20" i="3" s="1"/>
  <c r="B21" i="3" a="1"/>
  <c r="B21" i="3" s="1"/>
  <c r="B22" i="3" a="1"/>
  <c r="B22" i="3" s="1"/>
  <c r="B23" i="3" a="1"/>
  <c r="B23" i="3" s="1"/>
  <c r="B24" i="3" a="1"/>
  <c r="B24" i="3" s="1"/>
  <c r="B25" i="3" a="1"/>
  <c r="B25" i="3" s="1"/>
  <c r="B26" i="3" a="1"/>
  <c r="B26" i="3" s="1"/>
  <c r="B27" i="3" a="1"/>
  <c r="B27" i="3" s="1"/>
  <c r="B28" i="3" a="1"/>
  <c r="B28" i="3" s="1"/>
  <c r="B29" i="3" a="1"/>
  <c r="B29" i="3" s="1"/>
  <c r="B30" i="3" a="1"/>
  <c r="B30" i="3" s="1"/>
  <c r="B31" i="3" a="1"/>
  <c r="B31" i="3" s="1"/>
  <c r="B32" i="3" a="1"/>
  <c r="B32" i="3" s="1"/>
  <c r="B33" i="3" a="1"/>
  <c r="B33" i="3" s="1"/>
  <c r="B34" i="3" a="1"/>
  <c r="B34" i="3" s="1"/>
  <c r="B35" i="3" a="1"/>
  <c r="B35" i="3" s="1"/>
  <c r="B36" i="3" a="1"/>
  <c r="B36" i="3" s="1"/>
  <c r="B37" i="3" a="1"/>
  <c r="B37" i="3" s="1"/>
  <c r="B38" i="3" a="1"/>
  <c r="B38" i="3" s="1"/>
  <c r="B39" i="3" a="1"/>
  <c r="B39" i="3" s="1"/>
  <c r="B40" i="3" a="1"/>
  <c r="B40" i="3" s="1"/>
  <c r="B41" i="3" a="1"/>
  <c r="B41" i="3" s="1"/>
  <c r="B42" i="3" a="1"/>
  <c r="B42" i="3" s="1"/>
  <c r="B43" i="3" a="1"/>
  <c r="B43" i="3" s="1"/>
  <c r="B44" i="3" a="1"/>
  <c r="B44" i="3" s="1"/>
  <c r="B45" i="3" a="1"/>
  <c r="B45" i="3" s="1"/>
  <c r="B46" i="3" a="1"/>
  <c r="B46" i="3" s="1"/>
  <c r="B47" i="3" a="1"/>
  <c r="B47" i="3" s="1"/>
  <c r="B48" i="3" a="1"/>
  <c r="B48" i="3" s="1"/>
  <c r="B49" i="3" a="1"/>
  <c r="B49" i="3" s="1"/>
  <c r="B50" i="3" a="1"/>
  <c r="B50" i="3" s="1"/>
  <c r="B51" i="3" a="1"/>
  <c r="B51" i="3" s="1"/>
  <c r="B52" i="3" a="1"/>
  <c r="B52" i="3" s="1"/>
  <c r="B53" i="3" a="1"/>
  <c r="B53" i="3" s="1"/>
  <c r="B54" i="3" a="1"/>
  <c r="B54" i="3" s="1"/>
  <c r="B55" i="3" a="1"/>
  <c r="B55" i="3" s="1"/>
  <c r="B56" i="3" a="1"/>
  <c r="B56" i="3" s="1"/>
  <c r="B57" i="3" a="1"/>
  <c r="B57" i="3" s="1"/>
  <c r="B58" i="3" a="1"/>
  <c r="B58" i="3" s="1"/>
  <c r="B59" i="3" a="1"/>
  <c r="B59" i="3" s="1"/>
  <c r="B60" i="3" a="1"/>
  <c r="B60" i="3" s="1"/>
  <c r="B61" i="3" a="1"/>
  <c r="B61" i="3" s="1"/>
  <c r="B62" i="3" a="1"/>
  <c r="B62" i="3" s="1"/>
  <c r="B63" i="3" a="1"/>
  <c r="B63" i="3" s="1"/>
  <c r="B64" i="3" a="1"/>
  <c r="B64" i="3" s="1"/>
  <c r="B65" i="3" a="1"/>
  <c r="B65" i="3" s="1"/>
  <c r="B66" i="3" a="1"/>
  <c r="B66" i="3" s="1"/>
  <c r="B67" i="3" a="1"/>
  <c r="B67" i="3" s="1"/>
  <c r="B68" i="3" a="1"/>
  <c r="B68" i="3" s="1"/>
  <c r="B3" i="4" a="1"/>
  <c r="B3" i="4" s="1"/>
  <c r="B4" i="4" a="1"/>
  <c r="B4" i="4" s="1"/>
  <c r="B5" i="4" a="1"/>
  <c r="B5" i="4" s="1"/>
  <c r="B6" i="4" a="1"/>
  <c r="B6" i="4" s="1"/>
  <c r="B7" i="4" a="1"/>
  <c r="B7" i="4" s="1"/>
  <c r="B8" i="4" a="1"/>
  <c r="B8" i="4" s="1"/>
  <c r="B9" i="4" a="1"/>
  <c r="B9" i="4" s="1"/>
  <c r="B10" i="4" a="1"/>
  <c r="B10" i="4" s="1"/>
  <c r="B11" i="4" a="1"/>
  <c r="B11" i="4" s="1"/>
  <c r="B12" i="4" a="1"/>
  <c r="B12" i="4" s="1"/>
  <c r="B13" i="4" a="1"/>
  <c r="B13" i="4" s="1"/>
  <c r="B14" i="4" a="1"/>
  <c r="B14" i="4" s="1"/>
  <c r="B15" i="4" a="1"/>
  <c r="B15" i="4" s="1"/>
  <c r="B16" i="4" a="1"/>
  <c r="B16" i="4" s="1"/>
  <c r="B17" i="4" a="1"/>
  <c r="B17" i="4" s="1"/>
  <c r="B18" i="4" a="1"/>
  <c r="B18" i="4" s="1"/>
  <c r="B19" i="4" a="1"/>
  <c r="B19" i="4" s="1"/>
  <c r="B20" i="4" a="1"/>
  <c r="B20" i="4" s="1"/>
  <c r="B21" i="4" a="1"/>
  <c r="B21" i="4" s="1"/>
  <c r="B22" i="4" a="1"/>
  <c r="B22" i="4" s="1"/>
  <c r="B23" i="4" a="1"/>
  <c r="B23" i="4" s="1"/>
  <c r="B24" i="4" a="1"/>
  <c r="B24" i="4" s="1"/>
  <c r="B25" i="4" a="1"/>
  <c r="B25" i="4" s="1"/>
  <c r="B26" i="4" a="1"/>
  <c r="B26" i="4" s="1"/>
  <c r="B27" i="4" a="1"/>
  <c r="B27" i="4" s="1"/>
  <c r="B28" i="4" a="1"/>
  <c r="B28" i="4" s="1"/>
  <c r="B29" i="4" a="1"/>
  <c r="B29" i="4" s="1"/>
  <c r="B30" i="4" a="1"/>
  <c r="B30" i="4" s="1"/>
  <c r="B31" i="4" a="1"/>
  <c r="B31" i="4" s="1"/>
  <c r="B32" i="4" a="1"/>
  <c r="B32" i="4" s="1"/>
  <c r="B33" i="4" a="1"/>
  <c r="B33" i="4" s="1"/>
  <c r="B34" i="4" a="1"/>
  <c r="B34" i="4" s="1"/>
  <c r="B35" i="4" a="1"/>
  <c r="B35" i="4" s="1"/>
  <c r="B36" i="4" a="1"/>
  <c r="B36" i="4" s="1"/>
  <c r="B37" i="4" a="1"/>
  <c r="B37" i="4" s="1"/>
  <c r="B38" i="4" a="1"/>
  <c r="B38" i="4" s="1"/>
  <c r="B39" i="4" a="1"/>
  <c r="B39" i="4" s="1"/>
  <c r="B40" i="4" a="1"/>
  <c r="B40" i="4" s="1"/>
  <c r="B41" i="4" a="1"/>
  <c r="B41" i="4" s="1"/>
  <c r="B42" i="4" a="1"/>
  <c r="B42" i="4" s="1"/>
  <c r="B43" i="4" a="1"/>
  <c r="B43" i="4" s="1"/>
  <c r="B44" i="4" a="1"/>
  <c r="B44" i="4" s="1"/>
  <c r="B45" i="4" a="1"/>
  <c r="B45" i="4" s="1"/>
  <c r="B46" i="4" a="1"/>
  <c r="B46" i="4" s="1"/>
  <c r="B47" i="4" a="1"/>
  <c r="B47" i="4" s="1"/>
  <c r="B48" i="4" a="1"/>
  <c r="B48" i="4" s="1"/>
  <c r="B49" i="4" a="1"/>
  <c r="B49" i="4" s="1"/>
  <c r="B50" i="4" a="1"/>
  <c r="B50" i="4" s="1"/>
  <c r="B51" i="4" a="1"/>
  <c r="B51" i="4" s="1"/>
  <c r="B52" i="4" a="1"/>
  <c r="B52" i="4" s="1"/>
  <c r="B53" i="4" a="1"/>
  <c r="B53" i="4" s="1"/>
  <c r="B54" i="4" a="1"/>
  <c r="B54" i="4" s="1"/>
  <c r="B55" i="4" a="1"/>
  <c r="B55" i="4" s="1"/>
  <c r="B56" i="4" a="1"/>
  <c r="B56" i="4" s="1"/>
  <c r="B57" i="4" a="1"/>
  <c r="B57" i="4" s="1"/>
  <c r="B58" i="4" a="1"/>
  <c r="B58" i="4" s="1"/>
  <c r="B59" i="4" a="1"/>
  <c r="B59" i="4" s="1"/>
  <c r="B60" i="4" a="1"/>
  <c r="B60" i="4" s="1"/>
  <c r="B61" i="4" a="1"/>
  <c r="B61" i="4" s="1"/>
  <c r="B62" i="4" a="1"/>
  <c r="B62" i="4" s="1"/>
  <c r="B63" i="4" a="1"/>
  <c r="B63" i="4" s="1"/>
  <c r="B64" i="4" a="1"/>
  <c r="B64" i="4" s="1"/>
  <c r="B65" i="4" a="1"/>
  <c r="B65" i="4" s="1"/>
  <c r="B66" i="4" a="1"/>
  <c r="B66" i="4" s="1"/>
  <c r="B67" i="4" a="1"/>
  <c r="B67" i="4" s="1"/>
  <c r="B68" i="4" a="1"/>
  <c r="B68" i="4"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3" i="6" a="1"/>
  <c r="B3" i="6" s="1"/>
  <c r="B4" i="6" a="1"/>
  <c r="B4" i="6" s="1"/>
  <c r="B5" i="6" a="1"/>
  <c r="B5" i="6" s="1"/>
  <c r="B6" i="6" a="1"/>
  <c r="B6" i="6" s="1"/>
  <c r="B7" i="6" a="1"/>
  <c r="B7" i="6" s="1"/>
  <c r="B8" i="6" a="1"/>
  <c r="B8" i="6" s="1"/>
  <c r="B9" i="6" a="1"/>
  <c r="B9" i="6" s="1"/>
  <c r="B10" i="6" a="1"/>
  <c r="B10" i="6" s="1"/>
  <c r="B11" i="6" a="1"/>
  <c r="B11" i="6" s="1"/>
  <c r="B12" i="6" a="1"/>
  <c r="B12" i="6" s="1"/>
  <c r="B13" i="6" a="1"/>
  <c r="B13" i="6" s="1"/>
  <c r="B14" i="6" a="1"/>
  <c r="B14" i="6" s="1"/>
  <c r="B15" i="6" a="1"/>
  <c r="B15" i="6" s="1"/>
  <c r="B16" i="6" a="1"/>
  <c r="B16" i="6" s="1"/>
  <c r="B17" i="6" a="1"/>
  <c r="B17" i="6" s="1"/>
  <c r="B18" i="6" a="1"/>
  <c r="B18" i="6" s="1"/>
  <c r="B19" i="6" a="1"/>
  <c r="B19" i="6" s="1"/>
  <c r="B20" i="6" a="1"/>
  <c r="B20" i="6" s="1"/>
  <c r="B21" i="6" a="1"/>
  <c r="B21" i="6" s="1"/>
  <c r="B22" i="6" a="1"/>
  <c r="B22" i="6" s="1"/>
  <c r="B23" i="6" a="1"/>
  <c r="B23" i="6" s="1"/>
  <c r="B24" i="6" a="1"/>
  <c r="B24" i="6" s="1"/>
  <c r="B25" i="6" a="1"/>
  <c r="B25" i="6" s="1"/>
  <c r="B26" i="6" a="1"/>
  <c r="B26" i="6" s="1"/>
  <c r="B27" i="6" a="1"/>
  <c r="B27" i="6" s="1"/>
  <c r="B28" i="6" a="1"/>
  <c r="B28" i="6" s="1"/>
  <c r="B29" i="6" a="1"/>
  <c r="B29" i="6" s="1"/>
  <c r="B30" i="6" a="1"/>
  <c r="B30" i="6" s="1"/>
  <c r="B31" i="6" a="1"/>
  <c r="B31" i="6" s="1"/>
  <c r="B32" i="6" a="1"/>
  <c r="B32" i="6" s="1"/>
  <c r="B33" i="6" a="1"/>
  <c r="B33" i="6" s="1"/>
  <c r="B34" i="6" a="1"/>
  <c r="B34" i="6" s="1"/>
  <c r="B35" i="6" a="1"/>
  <c r="B35" i="6" s="1"/>
  <c r="B36" i="6" a="1"/>
  <c r="B36" i="6" s="1"/>
  <c r="B37" i="6" a="1"/>
  <c r="B37" i="6" s="1"/>
  <c r="B3" i="7" a="1"/>
  <c r="B3" i="7" s="1"/>
  <c r="B4" i="7" a="1"/>
  <c r="B4" i="7" s="1"/>
  <c r="B5" i="7" a="1"/>
  <c r="B5" i="7" s="1"/>
  <c r="B6" i="7" a="1"/>
  <c r="B6" i="7" s="1"/>
  <c r="B7" i="7" a="1"/>
  <c r="B7" i="7" s="1"/>
  <c r="B8" i="7" a="1"/>
  <c r="B8" i="7" s="1"/>
  <c r="B9" i="7" a="1"/>
  <c r="B9" i="7" s="1"/>
  <c r="B10" i="7" a="1"/>
  <c r="B10" i="7" s="1"/>
  <c r="B11" i="7" a="1"/>
  <c r="B11" i="7" s="1"/>
  <c r="B12" i="7" a="1"/>
  <c r="B12" i="7" s="1"/>
  <c r="B13" i="7" a="1"/>
  <c r="B13" i="7" s="1"/>
  <c r="B14" i="7" a="1"/>
  <c r="B14" i="7" s="1"/>
  <c r="B15" i="7" a="1"/>
  <c r="B15" i="7" s="1"/>
  <c r="B16" i="7" a="1"/>
  <c r="B16" i="7" s="1"/>
  <c r="B17" i="7" a="1"/>
  <c r="B17" i="7" s="1"/>
  <c r="B18" i="7" a="1"/>
  <c r="B18" i="7" s="1"/>
  <c r="B19" i="7" a="1"/>
  <c r="B19" i="7" s="1"/>
  <c r="B20" i="7" a="1"/>
  <c r="B20" i="7" s="1"/>
  <c r="B21" i="7" a="1"/>
  <c r="B21" i="7" s="1"/>
  <c r="B22" i="7" a="1"/>
  <c r="B22" i="7" s="1"/>
  <c r="B23" i="7" a="1"/>
  <c r="B23" i="7" s="1"/>
  <c r="B24" i="7" a="1"/>
  <c r="B24" i="7" s="1"/>
  <c r="B25" i="7" a="1"/>
  <c r="B25" i="7" s="1"/>
  <c r="B26" i="7" a="1"/>
  <c r="B26" i="7" s="1"/>
  <c r="B27" i="7" a="1"/>
  <c r="B27" i="7" s="1"/>
  <c r="B28" i="7" a="1"/>
  <c r="B28" i="7" s="1"/>
  <c r="B29" i="7" a="1"/>
  <c r="B29" i="7" s="1"/>
  <c r="B30" i="7" a="1"/>
  <c r="B30" i="7" s="1"/>
  <c r="B31" i="7" a="1"/>
  <c r="B31" i="7" s="1"/>
  <c r="B32" i="7" a="1"/>
  <c r="B32" i="7" s="1"/>
  <c r="B33" i="7" a="1"/>
  <c r="B33" i="7" s="1"/>
  <c r="B34" i="7" a="1"/>
  <c r="B34" i="7" s="1"/>
  <c r="B35" i="7" a="1"/>
  <c r="B35" i="7" s="1"/>
  <c r="B36" i="7" a="1"/>
  <c r="B36" i="7" s="1"/>
  <c r="B37" i="7" a="1"/>
  <c r="B37" i="7" s="1"/>
  <c r="B38" i="7" a="1"/>
  <c r="B38" i="7" s="1"/>
  <c r="B39" i="7" a="1"/>
  <c r="B39" i="7" s="1"/>
  <c r="B40" i="7" a="1"/>
  <c r="B40" i="7" s="1"/>
  <c r="B41" i="7" a="1"/>
  <c r="B41" i="7" s="1"/>
  <c r="B42" i="7" a="1"/>
  <c r="B42" i="7" s="1"/>
  <c r="B43" i="7" a="1"/>
  <c r="B43" i="7" s="1"/>
  <c r="B44" i="7" a="1"/>
  <c r="B44" i="7" s="1"/>
  <c r="B45" i="7" a="1"/>
  <c r="B45" i="7" s="1"/>
  <c r="B46" i="7" a="1"/>
  <c r="B46" i="7" s="1"/>
  <c r="B47" i="7" a="1"/>
  <c r="B47" i="7" s="1"/>
  <c r="B48" i="7" a="1"/>
  <c r="B48" i="7" s="1"/>
  <c r="B49" i="7" a="1"/>
  <c r="B49" i="7" s="1"/>
  <c r="B50" i="7" a="1"/>
  <c r="B50" i="7" s="1"/>
  <c r="B51" i="7" a="1"/>
  <c r="B51" i="7" s="1"/>
  <c r="B52" i="7" a="1"/>
  <c r="B52" i="7" s="1"/>
  <c r="B53" i="7" a="1"/>
  <c r="B53" i="7" s="1"/>
  <c r="B54" i="7" a="1"/>
  <c r="B54" i="7" s="1"/>
  <c r="B55" i="7" a="1"/>
  <c r="B55" i="7" s="1"/>
  <c r="B56" i="7" a="1"/>
  <c r="B56" i="7" s="1"/>
  <c r="B57" i="7" a="1"/>
  <c r="B57" i="7" s="1"/>
  <c r="B58" i="7" a="1"/>
  <c r="B58" i="7" s="1"/>
  <c r="B59" i="7" a="1"/>
  <c r="B59" i="7" s="1"/>
  <c r="B60" i="7" a="1"/>
  <c r="B60" i="7" s="1"/>
  <c r="B61" i="7" a="1"/>
  <c r="B61" i="7" s="1"/>
  <c r="B62" i="7" a="1"/>
  <c r="B62" i="7" s="1"/>
  <c r="B63" i="7" a="1"/>
  <c r="B63" i="7" s="1"/>
  <c r="B64" i="7" a="1"/>
  <c r="B64" i="7" s="1"/>
  <c r="B65" i="7" a="1"/>
  <c r="B65" i="7" s="1"/>
  <c r="B66" i="7" a="1"/>
  <c r="B66" i="7" s="1"/>
  <c r="B67" i="7" a="1"/>
  <c r="B67" i="7" s="1"/>
  <c r="B68" i="7" a="1"/>
  <c r="B68" i="7" s="1"/>
  <c r="B3" i="8" a="1"/>
  <c r="B3" i="8" s="1"/>
  <c r="B4" i="8" a="1"/>
  <c r="B4" i="8" s="1"/>
  <c r="B5" i="8" a="1"/>
  <c r="B5" i="8" s="1"/>
  <c r="B6" i="8" a="1"/>
  <c r="B6" i="8" s="1"/>
  <c r="B7" i="8" a="1"/>
  <c r="B7" i="8" s="1"/>
  <c r="B8" i="8" a="1"/>
  <c r="B8" i="8" s="1"/>
  <c r="B9" i="8" a="1"/>
  <c r="B9" i="8" s="1"/>
  <c r="B10" i="8" a="1"/>
  <c r="B10" i="8" s="1"/>
  <c r="B11" i="8" a="1"/>
  <c r="B11" i="8" s="1"/>
  <c r="B12" i="8" a="1"/>
  <c r="B12" i="8" s="1"/>
  <c r="B13" i="8" a="1"/>
  <c r="B13" i="8" s="1"/>
  <c r="B14" i="8" a="1"/>
  <c r="B14" i="8" s="1"/>
  <c r="B15" i="8" a="1"/>
  <c r="B15" i="8" s="1"/>
  <c r="B16" i="8" a="1"/>
  <c r="B16" i="8" s="1"/>
  <c r="B17" i="8" a="1"/>
  <c r="B17" i="8" s="1"/>
  <c r="B18" i="8" a="1"/>
  <c r="B18" i="8" s="1"/>
  <c r="B19" i="8" a="1"/>
  <c r="B19" i="8" s="1"/>
  <c r="B20" i="8" a="1"/>
  <c r="B20" i="8" s="1"/>
  <c r="B21" i="8" a="1"/>
  <c r="B21" i="8" s="1"/>
  <c r="B22" i="8" a="1"/>
  <c r="B22" i="8" s="1"/>
  <c r="B23" i="8" a="1"/>
  <c r="B23" i="8" s="1"/>
  <c r="B24" i="8" a="1"/>
  <c r="B24" i="8" s="1"/>
  <c r="B25" i="8" a="1"/>
  <c r="B25" i="8" s="1"/>
  <c r="B26" i="8" a="1"/>
  <c r="B26" i="8" s="1"/>
  <c r="B27" i="8" a="1"/>
  <c r="B27" i="8" s="1"/>
  <c r="B28" i="8" a="1"/>
  <c r="B28" i="8" s="1"/>
  <c r="B29" i="8" a="1"/>
  <c r="B29" i="8" s="1"/>
  <c r="B30" i="8" a="1"/>
  <c r="B30" i="8" s="1"/>
  <c r="B31" i="8" a="1"/>
  <c r="B31" i="8" s="1"/>
  <c r="B32" i="8" a="1"/>
  <c r="B32" i="8" s="1"/>
  <c r="B33" i="8" a="1"/>
  <c r="B33" i="8" s="1"/>
  <c r="B34" i="8" a="1"/>
  <c r="B34" i="8" s="1"/>
  <c r="B35" i="8" a="1"/>
  <c r="B35" i="8" s="1"/>
  <c r="B36" i="8" a="1"/>
  <c r="B36" i="8" s="1"/>
  <c r="B37" i="8" a="1"/>
  <c r="B37" i="8" s="1"/>
  <c r="B38" i="8" a="1"/>
  <c r="B38" i="8" s="1"/>
  <c r="B39" i="8" a="1"/>
  <c r="B39" i="8" s="1"/>
  <c r="B40" i="8" a="1"/>
  <c r="B40" i="8" s="1"/>
  <c r="B41" i="8" a="1"/>
  <c r="B41" i="8" s="1"/>
  <c r="B42" i="8" a="1"/>
  <c r="B42" i="8" s="1"/>
  <c r="B43" i="8" a="1"/>
  <c r="B43" i="8" s="1"/>
  <c r="B44" i="8" a="1"/>
  <c r="B44" i="8" s="1"/>
  <c r="B45" i="8" a="1"/>
  <c r="B45" i="8" s="1"/>
  <c r="B46" i="8" a="1"/>
  <c r="B46" i="8" s="1"/>
  <c r="B47" i="8" a="1"/>
  <c r="B47" i="8" s="1"/>
  <c r="B48" i="8" a="1"/>
  <c r="B48" i="8" s="1"/>
  <c r="B49" i="8" a="1"/>
  <c r="B49" i="8" s="1"/>
  <c r="B50" i="8" a="1"/>
  <c r="B50" i="8" s="1"/>
  <c r="B51" i="8" a="1"/>
  <c r="B51" i="8" s="1"/>
  <c r="B52" i="8" a="1"/>
  <c r="B52" i="8" s="1"/>
  <c r="B53" i="8" a="1"/>
  <c r="B53" i="8" s="1"/>
  <c r="B54" i="8" a="1"/>
  <c r="B54" i="8" s="1"/>
  <c r="B55" i="8" a="1"/>
  <c r="B55" i="8" s="1"/>
  <c r="B56" i="8" a="1"/>
  <c r="B56" i="8" s="1"/>
  <c r="B57" i="8" a="1"/>
  <c r="B57" i="8" s="1"/>
  <c r="B58" i="8" a="1"/>
  <c r="B58" i="8" s="1"/>
  <c r="B59" i="8" a="1"/>
  <c r="B59" i="8" s="1"/>
  <c r="B60" i="8" a="1"/>
  <c r="B60" i="8" s="1"/>
  <c r="B61" i="8" a="1"/>
  <c r="B61" i="8" s="1"/>
  <c r="B62" i="8" a="1"/>
  <c r="B62" i="8" s="1"/>
  <c r="B63" i="8" a="1"/>
  <c r="B63" i="8" s="1"/>
  <c r="B64" i="8" a="1"/>
  <c r="B64" i="8" s="1"/>
  <c r="B65" i="8" a="1"/>
  <c r="B65" i="8" s="1"/>
  <c r="B66" i="8" a="1"/>
  <c r="B66" i="8" s="1"/>
  <c r="B67" i="8" a="1"/>
  <c r="B67" i="8" s="1"/>
  <c r="B68" i="8" a="1"/>
  <c r="B68" i="8" s="1"/>
  <c r="B23" i="1" a="1"/>
  <c r="B23" i="1" s="1"/>
  <c r="B2" i="2" a="1"/>
  <c r="B2" i="2" s="1"/>
  <c r="B2" i="3" a="1"/>
  <c r="B2" i="3" s="1"/>
  <c r="B2" i="4" a="1"/>
  <c r="B2" i="4" s="1"/>
  <c r="B2" i="5" a="1"/>
  <c r="B2" i="5" s="1"/>
  <c r="B2" i="6" a="1"/>
  <c r="B2" i="6" s="1"/>
  <c r="B2" i="7" a="1"/>
  <c r="B2" i="7" s="1"/>
  <c r="B2" i="8" a="1"/>
  <c r="B2" i="8" s="1"/>
  <c r="B85" i="4" a="1"/>
  <c r="B85" i="4" s="1"/>
  <c r="B84" i="4" a="1"/>
  <c r="B84" i="4" s="1"/>
  <c r="B83" i="4" a="1"/>
  <c r="B83" i="4" s="1"/>
  <c r="B82" i="4" a="1"/>
  <c r="B82" i="4" s="1"/>
  <c r="B81" i="4" a="1"/>
  <c r="B81" i="4" s="1"/>
  <c r="B80" i="4" a="1"/>
  <c r="B80" i="4" s="1"/>
  <c r="B79" i="4" a="1"/>
  <c r="B79" i="4" s="1"/>
  <c r="B78" i="4" a="1"/>
  <c r="B78" i="4" s="1"/>
  <c r="B77" i="4" a="1"/>
  <c r="B77" i="4" s="1"/>
  <c r="B76" i="4" a="1"/>
  <c r="B76" i="4" s="1"/>
  <c r="B75" i="4" a="1"/>
  <c r="B75" i="4" s="1"/>
  <c r="B74" i="4" a="1"/>
  <c r="B74" i="4" s="1"/>
  <c r="B73" i="4" a="1"/>
  <c r="B73" i="4" s="1"/>
  <c r="B72" i="4" a="1"/>
  <c r="B72" i="4" s="1"/>
  <c r="B71" i="4" a="1"/>
  <c r="B71" i="4" s="1"/>
  <c r="B70" i="4" a="1"/>
  <c r="B70" i="4" s="1"/>
  <c r="B69" i="4" a="1"/>
  <c r="B69" i="4" s="1"/>
  <c r="B170" i="3" a="1"/>
  <c r="B170" i="3" s="1"/>
  <c r="B169" i="3" a="1"/>
  <c r="B169" i="3" s="1"/>
  <c r="B168" i="3" a="1"/>
  <c r="B168" i="3" s="1"/>
  <c r="B167" i="3" a="1"/>
  <c r="B167" i="3" s="1"/>
  <c r="B166" i="3" a="1"/>
  <c r="B166" i="3" s="1"/>
  <c r="B165" i="3" a="1"/>
  <c r="B165" i="3" s="1"/>
  <c r="B164" i="3" a="1"/>
  <c r="B164" i="3" s="1"/>
  <c r="B163" i="3" a="1"/>
  <c r="B163" i="3" s="1"/>
  <c r="B162" i="3" a="1"/>
  <c r="B162" i="3" s="1"/>
  <c r="B161" i="3" a="1"/>
  <c r="B161" i="3" s="1"/>
  <c r="B160" i="3" a="1"/>
  <c r="B160" i="3" s="1"/>
  <c r="B159" i="3" a="1"/>
  <c r="B159" i="3" s="1"/>
  <c r="B158" i="3" a="1"/>
  <c r="B158" i="3" s="1"/>
  <c r="B157" i="3" a="1"/>
  <c r="B157" i="3" s="1"/>
  <c r="B156" i="3" a="1"/>
  <c r="B156" i="3" s="1"/>
  <c r="B155" i="3" a="1"/>
  <c r="B155" i="3" s="1"/>
  <c r="B154" i="3" a="1"/>
  <c r="B154" i="3" s="1"/>
  <c r="B153" i="3" a="1"/>
  <c r="B153" i="3" s="1"/>
  <c r="B152" i="3" a="1"/>
  <c r="B152" i="3" s="1"/>
  <c r="B151" i="3" a="1"/>
  <c r="B151" i="3" s="1"/>
  <c r="B150" i="3" a="1"/>
  <c r="B150" i="3" s="1"/>
  <c r="B149" i="3" a="1"/>
  <c r="B149" i="3" s="1"/>
  <c r="B148" i="3" a="1"/>
  <c r="B148" i="3" s="1"/>
  <c r="B147" i="3" a="1"/>
  <c r="B147" i="3" s="1"/>
  <c r="B146" i="3" a="1"/>
  <c r="B146" i="3" s="1"/>
  <c r="B145" i="3" a="1"/>
  <c r="B145" i="3" s="1"/>
  <c r="B144" i="3" a="1"/>
  <c r="B144" i="3" s="1"/>
  <c r="B143" i="3" a="1"/>
  <c r="B143" i="3" s="1"/>
  <c r="B142" i="3" a="1"/>
  <c r="B142" i="3" s="1"/>
  <c r="B141" i="3" a="1"/>
  <c r="B141" i="3" s="1"/>
  <c r="B140" i="3" a="1"/>
  <c r="B140" i="3" s="1"/>
  <c r="B139" i="3" a="1"/>
  <c r="B139" i="3" s="1"/>
  <c r="B138" i="3" a="1"/>
  <c r="B138" i="3" s="1"/>
  <c r="B137" i="3" a="1"/>
  <c r="B137" i="3" s="1"/>
  <c r="B136" i="3" a="1"/>
  <c r="B136" i="3" s="1"/>
  <c r="B135" i="3" a="1"/>
  <c r="B135" i="3" s="1"/>
  <c r="B134" i="3" a="1"/>
  <c r="B134" i="3" s="1"/>
  <c r="B133" i="3" a="1"/>
  <c r="B133" i="3" s="1"/>
  <c r="B132" i="3" a="1"/>
  <c r="B132" i="3" s="1"/>
  <c r="B131" i="3" a="1"/>
  <c r="B131" i="3" s="1"/>
  <c r="B130" i="3" a="1"/>
  <c r="B130" i="3" s="1"/>
  <c r="B129" i="3" a="1"/>
  <c r="B129" i="3" s="1"/>
  <c r="B128" i="3" a="1"/>
  <c r="B128" i="3" s="1"/>
  <c r="B127" i="3" a="1"/>
  <c r="B127" i="3" s="1"/>
  <c r="B126" i="3" a="1"/>
  <c r="B126" i="3" s="1"/>
  <c r="B125" i="3" a="1"/>
  <c r="B125" i="3" s="1"/>
  <c r="B124" i="3" a="1"/>
  <c r="B124" i="3" s="1"/>
  <c r="B123" i="3" a="1"/>
  <c r="B123" i="3" s="1"/>
  <c r="B122" i="3" a="1"/>
  <c r="B122" i="3" s="1"/>
  <c r="B121" i="3" a="1"/>
  <c r="B121" i="3" s="1"/>
  <c r="B120" i="3" a="1"/>
  <c r="B120" i="3" s="1"/>
  <c r="B119" i="3" a="1"/>
  <c r="B119" i="3" s="1"/>
  <c r="B118" i="3" a="1"/>
  <c r="B118" i="3" s="1"/>
  <c r="B117" i="3" a="1"/>
  <c r="B117" i="3" s="1"/>
  <c r="B116" i="3" a="1"/>
  <c r="B116" i="3" s="1"/>
  <c r="B115" i="3" a="1"/>
  <c r="B115" i="3" s="1"/>
  <c r="B114" i="3" a="1"/>
  <c r="B114" i="3" s="1"/>
  <c r="B113" i="3" a="1"/>
  <c r="B113" i="3" s="1"/>
  <c r="B112" i="3" a="1"/>
  <c r="B112" i="3" s="1"/>
  <c r="B111" i="3" a="1"/>
  <c r="B111" i="3" s="1"/>
  <c r="B110" i="3" a="1"/>
  <c r="B110" i="3" s="1"/>
  <c r="B109" i="3" a="1"/>
  <c r="B109" i="3" s="1"/>
  <c r="B108" i="3" a="1"/>
  <c r="B108" i="3" s="1"/>
  <c r="B107" i="3" a="1"/>
  <c r="B107" i="3" s="1"/>
  <c r="B106" i="3" a="1"/>
  <c r="B106" i="3" s="1"/>
  <c r="B105" i="3" a="1"/>
  <c r="B105" i="3" s="1"/>
  <c r="B104" i="3" a="1"/>
  <c r="B104" i="3" s="1"/>
  <c r="B103" i="3" a="1"/>
  <c r="B103" i="3" s="1"/>
  <c r="B102" i="3" a="1"/>
  <c r="B102" i="3" s="1"/>
  <c r="B101" i="3" a="1"/>
  <c r="B101" i="3" s="1"/>
  <c r="B100" i="3" a="1"/>
  <c r="B100" i="3" s="1"/>
  <c r="B99" i="3" a="1"/>
  <c r="B99" i="3" s="1"/>
  <c r="B98" i="3" a="1"/>
  <c r="B98" i="3" s="1"/>
  <c r="B97" i="3" a="1"/>
  <c r="B97" i="3" s="1"/>
  <c r="B96" i="3" a="1"/>
  <c r="B96" i="3" s="1"/>
  <c r="B95" i="3" a="1"/>
  <c r="B95" i="3" s="1"/>
  <c r="B94" i="3" a="1"/>
  <c r="B94" i="3" s="1"/>
  <c r="B93" i="3" a="1"/>
  <c r="B93" i="3" s="1"/>
  <c r="B92" i="3" a="1"/>
  <c r="B92" i="3" s="1"/>
  <c r="B91" i="3" a="1"/>
  <c r="B91" i="3" s="1"/>
  <c r="B90" i="3" a="1"/>
  <c r="B90" i="3" s="1"/>
  <c r="B89" i="3" a="1"/>
  <c r="B89" i="3" s="1"/>
  <c r="B88" i="3" a="1"/>
  <c r="B88" i="3" s="1"/>
  <c r="B87" i="3" a="1"/>
  <c r="B87" i="3" s="1"/>
  <c r="B86" i="3" a="1"/>
  <c r="B86" i="3" s="1"/>
  <c r="B85" i="3" a="1"/>
  <c r="B85" i="3" s="1"/>
  <c r="B84" i="3" a="1"/>
  <c r="B84" i="3" s="1"/>
  <c r="B83" i="3" a="1"/>
  <c r="B83" i="3" s="1"/>
  <c r="B82" i="3" a="1"/>
  <c r="B82" i="3" s="1"/>
  <c r="B81" i="3" a="1"/>
  <c r="B81" i="3" s="1"/>
  <c r="B80" i="3" a="1"/>
  <c r="B80" i="3" s="1"/>
  <c r="B79" i="3" a="1"/>
  <c r="B79" i="3" s="1"/>
  <c r="B78" i="3" a="1"/>
  <c r="B78" i="3" s="1"/>
  <c r="B77" i="3" a="1"/>
  <c r="B77" i="3" s="1"/>
  <c r="B76" i="3" a="1"/>
  <c r="B76" i="3" s="1"/>
  <c r="B75" i="3" a="1"/>
  <c r="B75" i="3" s="1"/>
  <c r="B74" i="3" a="1"/>
  <c r="B74" i="3" s="1"/>
  <c r="B73" i="3" a="1"/>
  <c r="B73" i="3" s="1"/>
  <c r="B72" i="3" a="1"/>
  <c r="B72" i="3" s="1"/>
  <c r="B71" i="3" a="1"/>
  <c r="B71" i="3" s="1"/>
  <c r="B70" i="3" a="1"/>
  <c r="B70" i="3" s="1"/>
  <c r="B69" i="3" a="1"/>
  <c r="B69" i="3" s="1"/>
  <c r="B2"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tc={880362E8-4233-449C-AC31-C59B7ABE86D0}</author>
    <author>tc={276B910E-4D93-4376-B0F5-BB4501FA54B8}</author>
    <author>tc={3AFB5DD6-A02F-4EFA-95D7-EC6C943017C2}</author>
    <author>tc={FB5980D2-32A6-463B-A3FB-9CE2504B93EA}</author>
    <author>tc={618E8010-BFA0-45E9-AC09-D27F17A780E3}</author>
    <author>tc={557E1174-11AE-4A3F-A982-9904B09960DE}</author>
    <author>tc={6DF3A27A-796E-4EB7-8E78-E3D3A65261D6}</author>
    <author>tc={E48464B8-23A5-44A0-9040-1E4CF4E827E4}</author>
  </authors>
  <commentList>
    <comment ref="B1" authorId="0" shapeId="0" xr:uid="{880362E8-4233-449C-AC31-C59B7ABE86D0}">
      <text>
        <t>[Threaded comment]
Your version of Excel allows you to read this threaded comment; however, any edits to it will get removed if the file is opened in a newer version of Excel. Learn more: https://go.microsoft.com/fwlink/?linkid=870924
Comment:
    Language matters in indicators (and everything), so probably worth drafting the Mexacali ones in Spanish first and then English perhaps? English should follow Spanish rather than vice versa with the indicators (even if because the indicators will be determined by available data and concepts, eg manzanas etc).</t>
      </text>
    </comment>
    <comment ref="L1" authorId="1" shapeId="0" xr:uid="{276B910E-4D93-4376-B0F5-BB4501FA54B8}">
      <text>
        <t>[Threaded comment]
Your version of Excel allows you to read this threaded comment; however, any edits to it will get removed if the file is opened in a newer version of Excel. Learn more: https://go.microsoft.com/fwlink/?linkid=870924
Comment:
    Note: where indicators are flagged as “duplicates” we may later want to collate the multiple sub-domain tags, measure lenses and indicator categories.  Each indicator could have multiple tags for these aspects.</t>
      </text>
    </comment>
    <comment ref="N1" authorId="2" shapeId="0" xr:uid="{3AFB5DD6-A02F-4EFA-95D7-EC6C943017C2}">
      <text>
        <t>[Threaded comment]
Your version of Excel allows you to read this threaded comment; however, any edits to it will get removed if the file is opened in a newer version of Excel. Learn more: https://go.microsoft.com/fwlink/?linkid=870924
Comment:
    Useful to know if this is something concrete like a specific point/area of interest (eg for geospatial analysis) or something more area linkage based like an opinion or statistic</t>
      </text>
    </comment>
    <comment ref="A2" authorId="3" shapeId="0" xr:uid="{FB5980D2-32A6-463B-A3FB-9CE2504B93EA}">
      <text>
        <t>[Threaded comment]
Your version of Excel allows you to read this threaded comment; however, any edits to it will get removed if the file is opened in a newer version of Excel. Learn more: https://go.microsoft.com/fwlink/?linkid=870924
Comment:
    can be used to distinguish single measure from duplicates/variants, when the latter are excluded but not deleted</t>
      </text>
    </comment>
    <comment ref="B2" authorId="4" shapeId="0" xr:uid="{618E8010-BFA0-45E9-AC09-D27F17A780E3}">
      <text>
        <t>[Threaded comment]
Your version of Excel allows you to read this threaded comment; however, any edits to it will get removed if the file is opened in a newer version of Excel. Learn more: https://go.microsoft.com/fwlink/?linkid=870924
Comment:
    Language matters in indicators (and everything), so probably worth drafting the Mexacali ones in Spanish first and then English perhaps? English should follow Spanish rather than vice versa with the indicators (even if because the indicators will be determined by available data and concepts, eg manzanas etc).</t>
      </text>
    </comment>
    <comment ref="O2" authorId="5" shapeId="0" xr:uid="{557E1174-11AE-4A3F-A982-9904B09960DE}">
      <text>
        <t>[Threaded comment]
Your version of Excel allows you to read this threaded comment; however, any edits to it will get removed if the file is opened in a newer version of Excel. Learn more: https://go.microsoft.com/fwlink/?linkid=870924
Comment:
    Note: for indicator reduction purposes I haven’t counted these lenses --- I think these can be applied after reduction (eg in a web-based UI you could allow exploration of distance to closest or access/count within threshold etc), but while we hone in it will be useful to list each key topic (eg a POI only once) to ensure only relevant ones are included.</t>
      </text>
    </comment>
    <comment ref="R2" authorId="6" shapeId="0" xr:uid="{6DF3A27A-796E-4EB7-8E78-E3D3A65261D6}">
      <text>
        <t>[Threaded comment]
Your version of Excel allows you to read this threaded comment; however, any edits to it will get removed if the file is opened in a newer version of Excel. Learn more: https://go.microsoft.com/fwlink/?linkid=870924
Comment:
    This could be count (N) for POIs or area (% coverage) for areas of interest (eg blue space)</t>
      </text>
    </comment>
    <comment ref="S2" authorId="7" shapeId="0" xr:uid="{E48464B8-23A5-44A0-9040-1E4CF4E827E4}">
      <text>
        <t>[Threaded comment]
Your version of Excel allows you to read this threaded comment; however, any edits to it will get removed if the file is opened in a newer version of Excel. Learn more: https://go.microsoft.com/fwlink/?linkid=870924
Comment:
    could be per area (/sqm) or per capita (e.g. /10,000 persons) depending on evidence and relevance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tc={BC2ABAEE-76C1-45FD-92E4-0917E060C721}</author>
  </authors>
  <commentList>
    <comment ref="A1" authorId="0" shapeId="0" xr:uid="{BC2ABAEE-76C1-45FD-92E4-0917E060C721}">
      <text>
        <t xml:space="preserve">[Threaded comment]
Your version of Excel allows you to read this threaded comment; however, any edits to it will get removed if the file is opened in a newer version of Excel. Learn more: https://go.microsoft.com/fwlink/?linkid=870924
Comment:
    https://tecmx.sharepoint.com/:f:/r/sites/CentroparaelFuturodelasCiudades807/Shared%20Documents/P_EXE/3_Investigaci%C3%B3n/01_Entornos%20Vivibles/Revisi%C3%B3n%20de%20literatura/Referencias/Articulos%20en%20la%20revisi%C3%B3n%20final?csf=1&amp;web=1&amp;e=c8Sh1T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tc={0735AE85-6146-427F-9082-4BDFB54C2D7D}</author>
    <author>tc={32F4C292-6A77-40FF-8308-23298C42F8E5}</author>
    <author>tc={44C5566E-D36D-4AB0-AB6D-7F96D03BFDDC}</author>
    <author>tc={BBC74AFC-986C-4AA6-AEB7-013714D7F296}</author>
    <author>tc={25EAC9EB-DAA8-4B6A-B330-582751E96F6D}</author>
    <author>tc={C79CDF3F-A9D4-468D-9319-6F2C27FA3FCE}</author>
    <author>tc={A0FD7BD2-58FD-441C-B18A-BDF3B15C1781}</author>
    <author>tc={A3D0B4AD-0ECA-4A16-A6A1-ED24E2800329}</author>
    <author>tc={E0D32C62-D434-4E37-9C5B-8402EC2BB051}</author>
  </authors>
  <commentList>
    <comment ref="F1" authorId="0" shapeId="0" xr:uid="{0735AE85-6146-427F-9082-4BDFB54C2D7D}">
      <text>
        <t>[Threaded comment]
Your version of Excel allows you to read this threaded comment; however, any edits to it will get removed if the file is opened in a newer version of Excel. Learn more: https://go.microsoft.com/fwlink/?linkid=870924
Comment:
    Useful to know if this is something concrete like a specific point/area of interest (eg for geospatial analysis) or something more area linkage based like an opinion or statistic</t>
      </text>
    </comment>
    <comment ref="I1" authorId="1" shapeId="0" xr:uid="{32F4C292-6A77-40FF-8308-23298C42F8E5}">
      <text>
        <t>[Threaded comment]
Your version of Excel allows you to read this threaded comment; however, any edits to it will get removed if the file is opened in a newer version of Excel. Learn more: https://go.microsoft.com/fwlink/?linkid=870924
Comment:
    Language matters in indicators (and everything), so probably worth drafting the Mexacali ones in Spanish first and then English perhaps? English should follow Spanish rather than vice versa with the indicators (even if because the indicators will be determined by available data and concepts, eg manzanas etc).</t>
      </text>
    </comment>
    <comment ref="F4" authorId="2" shapeId="0" xr:uid="{44C5566E-D36D-4AB0-AB6D-7F96D03BFDDC}">
      <text>
        <t>[Threaded comment]
Your version of Excel allows you to read this threaded comment; however, any edits to it will get removed if the file is opened in a newer version of Excel. Learn more: https://go.microsoft.com/fwlink/?linkid=870924
Comment:
    what are Guard rails and do we have data on this?</t>
      </text>
    </comment>
    <comment ref="F8" authorId="3" shapeId="0" xr:uid="{BBC74AFC-986C-4AA6-AEB7-013714D7F296}">
      <text>
        <t>[Threaded comment]
Your version of Excel allows you to read this threaded comment; however, any edits to it will get removed if the file is opened in a newer version of Excel. Learn more: https://go.microsoft.com/fwlink/?linkid=870924
Comment:
    I put ‘Footpaths’ here, but its not clear how this indicator evaluates walking friendly environment (it could be a walkability index, like we already produce using a pedestrian street network, or using analysis of quality of footpath infrastructure (width/access ramps/crossing infrastructure), low speed zones, or it could be the basis of a survey of opinions/perceptions.</t>
      </text>
    </comment>
    <comment ref="G16" authorId="4" shapeId="0" xr:uid="{25EAC9EB-DAA8-4B6A-B330-582751E96F6D}">
      <text>
        <t>[Threaded comment]
Your version of Excel allows you to read this threaded comment; however, any edits to it will get removed if the file is opened in a newer version of Excel. Learn more: https://go.microsoft.com/fwlink/?linkid=870924
Comment:
    If this is a Likert scale, its more like “strength” of agreement, e.g. with perception of petty crime I think.   If petty crimes were measured by a statistic rather than an opinion (perception) then perhaps it could be quantity or rate, depending on statistic?</t>
      </text>
    </comment>
    <comment ref="F20" authorId="5" shapeId="0" xr:uid="{C79CDF3F-A9D4-468D-9319-6F2C27FA3FCE}">
      <text>
        <t>[Threaded comment]
Your version of Excel allows you to read this threaded comment; however, any edits to it will get removed if the file is opened in a newer version of Excel. Learn more: https://go.microsoft.com/fwlink/?linkid=870924
Comment:
    Hard to know if this is something measurable --- it might be its own research study using streetview imagery?  If the data doesn’t already exist to measure or link an indicator readily, I think its grounds for exclusion.  It can be noted as an aspect for future research, etc.
Reply:
    These sound like in the literature they were measured as opinions – i.e. on a Likert scale for strength of agreement.  I think there could be ways to attempt to objectively measure, which could be interesting, but won’t be feasible.  And likewise, as an opinion, that’s contingent on a specific survey that probably hasn’t been applied.  So perhaps these measures can’t be calculated?</t>
      </text>
    </comment>
    <comment ref="G27" authorId="6" shapeId="0" xr:uid="{A0FD7BD2-58FD-441C-B18A-BDF3B15C1781}">
      <text>
        <t>[Threaded comment]
Your version of Excel allows you to read this threaded comment; however, any edits to it will get removed if the file is opened in a newer version of Excel. Learn more: https://go.microsoft.com/fwlink/?linkid=870924
Comment:
    If this were “per sqkm” then I think I would describe as density, but as “per 1000 persons” I think it’s a rate.  It doesn’t really matter --- will be good to see what statistics are available and matter for Mexicali though.
Reply:
    I changed from ‘density’ to ‘rate’</t>
      </text>
    </comment>
    <comment ref="H29" authorId="7" shapeId="0" xr:uid="{A3D0B4AD-0ECA-4A16-A6A1-ED24E2800329}">
      <text>
        <t>[Threaded comment]
Your version of Excel allows you to read this threaded comment; however, any edits to it will get removed if the file is opened in a newer version of Excel. Learn more: https://go.microsoft.com/fwlink/?linkid=870924
Comment:
    This could be a point-based spatial analysis or, more likely an area-based linkage analysis depending on data available</t>
      </text>
    </comment>
    <comment ref="G31" authorId="8" shapeId="0" xr:uid="{E0D32C62-D434-4E37-9C5B-8402EC2BB051}">
      <text>
        <t>[Threaded comment]
Your version of Excel allows you to read this threaded comment; however, any edits to it will get removed if the file is opened in a newer version of Excel. Learn more: https://go.microsoft.com/fwlink/?linkid=870924
Comment:
    How is this being measured?  Do you have a point location dataset of crimes across a certain period of time?  or count of crimes within districts?  ‘Crime’ is very high level, (eg tax evasion, fraud, violent crime, theft, etc).  I think good to be more specific, and be guided by available and relevant data (likely larger area scale).   I think theft and violent crimes, or more specific things like violence against vulnerable population sub-groups if the data is available at a meaningful scale could be most relevant.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<sst xmlns="http://schemas.openxmlformats.org/spreadsheetml/2006/main" count="5224" uniqueCount="1343">
  <si>
    <t>Article #</t>
  </si>
  <si>
    <t>title</t>
  </si>
  <si>
    <t>Author</t>
  </si>
  <si>
    <t>Year</t>
  </si>
  <si>
    <t>Search</t>
  </si>
  <si>
    <t>Notas</t>
  </si>
  <si>
    <t>Extra relevant</t>
  </si>
  <si>
    <t>Excluded</t>
  </si>
  <si>
    <t>A methodology for the identification of significant factors for the improvement of pedestrian facilities in an urban area</t>
  </si>
  <si>
    <t>Aromal</t>
  </si>
  <si>
    <t>This article's main aim is to develop a comprehensive list of factors that would help in the decision-making process for the improvement of pedestrian facilities in urban areas. It includes built environment factors related to liveability and in fact a domain they call Ambience/Liveability. Should we keep it?</t>
  </si>
  <si>
    <t>2026-07-17 ER JN CH discussion (doesn't meet inclusion / exclusion criteria)</t>
  </si>
  <si>
    <t>A sustainability assessment framework for population density in central Indian cities</t>
  </si>
  <si>
    <t>Kamble</t>
  </si>
  <si>
    <t>Not focused on liveability</t>
  </si>
  <si>
    <t>Assessment and key factors of urban liveability in underdeveloped regions: A case study of the Loess Plateau, China</t>
  </si>
  <si>
    <t>Xiao</t>
  </si>
  <si>
    <t>Can Tourism Development Make Cities More Livable? Investigating 40 Cities in China</t>
  </si>
  <si>
    <t>Kang</t>
  </si>
  <si>
    <t>1,2,3</t>
  </si>
  <si>
    <t>Constructing a city liveability index and evaluating the spatial pattern of liveability of Guwahati city</t>
  </si>
  <si>
    <t>Mahanta</t>
  </si>
  <si>
    <t>Decision-Making Framework for Prioritizing the Improvement of Pedestrian Facilities in Urban Areas Using Integrated Delphi, AHP, and TOPSIS Approach</t>
  </si>
  <si>
    <t>Determining Factors Influencing Residents’ Satisfaction Regarding Urban Livability in Pakistan</t>
  </si>
  <si>
    <t>Baig</t>
  </si>
  <si>
    <t>This study ONLY uses survey data</t>
  </si>
  <si>
    <t>Development of a Liveable City Index (LCI) Using Multi Criteria Geospatial Modelling for Medium Class Cities in Developing Countries</t>
  </si>
  <si>
    <t>Onnom</t>
  </si>
  <si>
    <t>*</t>
  </si>
  <si>
    <t>Infill Architecture as a Solution for Livability and Historical Texture Quality Promotion</t>
  </si>
  <si>
    <t>Beiglu</t>
  </si>
  <si>
    <t>This article is more conceptual, it does have a section on liveability and includes some measures but without detail on how these are calculated</t>
  </si>
  <si>
    <t>Investigation of Urban Design Approaches in Renewal Areas with Hybrid Decision Model</t>
  </si>
  <si>
    <t>Gungor</t>
  </si>
  <si>
    <t>Livability in dense residential neighbourhoods of Dhaka</t>
  </si>
  <si>
    <t>Satu</t>
  </si>
  <si>
    <t>Measuring Liveability by Exploring Urban Qualities of Kissy Street, Freetown, Sierra Leone</t>
  </si>
  <si>
    <t>Alderton</t>
  </si>
  <si>
    <t>Measuring and monitoring liveability in a low-to-middle income country: a proof-of-concept for Bangkok, Thailand and lessons from an international partnership</t>
  </si>
  <si>
    <t>Conteh</t>
  </si>
  <si>
    <t>Paying for the quality of life: The impacts of urban livability on CEO compensation</t>
  </si>
  <si>
    <t>Li</t>
  </si>
  <si>
    <t>This study assesses if urban liveability is correlated with higher CEO compensation. Although is not focused on liverability, it does measure liveability as the independent variable</t>
  </si>
  <si>
    <t xml:space="preserve">2026-07-17 ER JN CH discussion (doesn't meet inclusion / exclusion criteria); This article is not relevant as is not focused on the main population but only executives of listed companies; </t>
  </si>
  <si>
    <t>Planning and designing livable recreational open spaces in developing countries. Insights from Souk Ahras City, Algeria</t>
  </si>
  <si>
    <r>
      <t xml:space="preserve">This study investigated the role of urban planning and urban design in shaping </t>
    </r>
    <r>
      <rPr>
        <b/>
        <sz val="12"/>
        <color theme="1"/>
        <rFont val="Aptos Narrow"/>
        <family val="2"/>
        <scheme val="minor"/>
      </rPr>
      <t>livable recreational open spaces</t>
    </r>
    <r>
      <rPr>
        <sz val="12"/>
        <color theme="1"/>
        <rFont val="Aptos Narrow"/>
        <family val="2"/>
        <scheme val="minor"/>
      </rPr>
      <t xml:space="preserve"> in Souk Ahras City, Algeria.</t>
    </r>
  </si>
  <si>
    <t>Spatial analysis and ranking of urban districts based on a comprehensive livability approach: the case of Tehran</t>
  </si>
  <si>
    <t>Kashi</t>
  </si>
  <si>
    <t>The impact of economic development on urban livability: Evidence from 40 large and medium-sized cities of China</t>
  </si>
  <si>
    <t>Wang</t>
  </si>
  <si>
    <t>Urban Livability in a Rapidly Urbanizing Mid-Size City: Lessons for Planning in the Global South</t>
  </si>
  <si>
    <t>Wu</t>
  </si>
  <si>
    <t>Urban greenness, mixed land-use, and life satisfaction: Evidence from residential locations and workplace settings in Beijing</t>
  </si>
  <si>
    <t>Jodder</t>
  </si>
  <si>
    <r>
      <t xml:space="preserve">This study aims to provide insights into the interaction effect between neighbourhood greenness (proxied by eye-sensored street view exposure to greenspaces) and mixed land-use (measured by micro-level point-ofinterest entropy) in </t>
    </r>
    <r>
      <rPr>
        <b/>
        <sz val="12"/>
        <color rgb="FFFF0000"/>
        <rFont val="Aptos Narrow"/>
        <family val="2"/>
        <scheme val="minor"/>
      </rPr>
      <t>shaping residents’ life satisfaction (as an indicator of urban liveability).</t>
    </r>
  </si>
  <si>
    <t>Urban livability index assessment based on land-use changes in an Indian medium-sized city (Raiganj)</t>
  </si>
  <si>
    <t>Basu</t>
  </si>
  <si>
    <t>Urban walkability assessment: methods and implications for city planning</t>
  </si>
  <si>
    <t>Chaudhary</t>
  </si>
  <si>
    <t>What is the meaning of urban liveability for a city in a low-to-middle-income country? Contextualising liveability for Bangkok, Thailand</t>
  </si>
  <si>
    <t>Socio-physical liveability through socio-spatiality in low-income resettlement archetypes - A case of slum rehabilitation housing in Mumbai, India.</t>
  </si>
  <si>
    <t>Sarkar</t>
  </si>
  <si>
    <t>Evaluating the impact of urban green spaces on public well-being and environmental sustainability in Saudi Arabian megacities</t>
  </si>
  <si>
    <t>Addas</t>
  </si>
  <si>
    <t>Urban green space in transition: A cross-continental perspective from eight Global North and South cities</t>
  </si>
  <si>
    <t>Derdoui</t>
  </si>
  <si>
    <t>Transforming Riyadh: urban development, quality of life, and spatial equity under Vision 2030</t>
  </si>
  <si>
    <t>Mahboob</t>
  </si>
  <si>
    <t>Integrated Framework for Enhancing Liveability and Ecological Sustainability in UAE Communities</t>
  </si>
  <si>
    <t>Alzaim</t>
  </si>
  <si>
    <t>Evaluation of the livability of arid urban environments under global warming: A multi-parameter approach</t>
  </si>
  <si>
    <t>Chen</t>
  </si>
  <si>
    <t>Setting up the ENVI-met digital tool to evaluate climatic conditions at an urban scale: a case study of Djelfa, Algeria</t>
  </si>
  <si>
    <t>Brahimi</t>
  </si>
  <si>
    <t>Transit-Oriented Development and Urban Livability in Gulf Cities: Comparative Analysis of Doha’s West Bay and Riyadh’s King Abdullah Financial District</t>
  </si>
  <si>
    <t>Mazzetto</t>
  </si>
  <si>
    <t>Assessing spatial–temporal evolution and key factors of urban livability in arid zone: The case study of the Loess Plateau, China</t>
  </si>
  <si>
    <t>Mexicali indicator</t>
  </si>
  <si>
    <t>Domain</t>
  </si>
  <si>
    <t>Subdomain</t>
  </si>
  <si>
    <t>Indicator / Category</t>
  </si>
  <si>
    <t>Subject</t>
  </si>
  <si>
    <t>Specific Measure lens / Enfoque</t>
  </si>
  <si>
    <t>Scale(s)</t>
  </si>
  <si>
    <t>Specific measures (from literature)</t>
  </si>
  <si>
    <t>Can we calculate this? Do we have data for Mexicali? (0: No / 1: Yes / 2: TBD)</t>
  </si>
  <si>
    <t>What is the most pragmatic way of measuring it?</t>
  </si>
  <si>
    <t>Excluded indicator</t>
  </si>
  <si>
    <t>Methods sub-indices/measures</t>
  </si>
  <si>
    <t>Potential data sources</t>
  </si>
  <si>
    <t>Notes</t>
  </si>
  <si>
    <t>Doubts/Questions</t>
  </si>
  <si>
    <t>Safety</t>
  </si>
  <si>
    <t>Built Environment</t>
  </si>
  <si>
    <t>Ambient Environment</t>
  </si>
  <si>
    <t>Housing</t>
  </si>
  <si>
    <t>Economic Development</t>
  </si>
  <si>
    <t>Social Infrastructure</t>
  </si>
  <si>
    <t>Sociodemographics</t>
  </si>
  <si>
    <t>Mobility &amp; Transport</t>
  </si>
  <si>
    <t>Citation(s)</t>
  </si>
  <si>
    <t>Effect size (signed measure and confidence interval/uncertainty if stated)</t>
  </si>
  <si>
    <t>x</t>
  </si>
  <si>
    <t/>
  </si>
  <si>
    <t>Road Safety</t>
  </si>
  <si>
    <t>Opinion</t>
  </si>
  <si>
    <t>Accidents and Safety</t>
  </si>
  <si>
    <t>['Kernel Density Estimation (KDE) to identify spatial clusters of walkability-related  features', 'Line Density Analysis to measure connectivity of pedestrian infrastructure. These  methods complement each other by capturing both the qualitative and quantitative aspects  of walkability']</t>
  </si>
  <si>
    <t>Determine the correct indicator category</t>
  </si>
  <si>
    <t>Personal Safety</t>
  </si>
  <si>
    <t>Quality</t>
  </si>
  <si>
    <t>Neighborhood safety</t>
  </si>
  <si>
    <t>['N/A']</t>
  </si>
  <si>
    <t>Traffic</t>
  </si>
  <si>
    <t>Statistic</t>
  </si>
  <si>
    <t>Quantity</t>
  </si>
  <si>
    <t>Traffic congestion</t>
  </si>
  <si>
    <t>Accesibility lens??</t>
  </si>
  <si>
    <t>Passive Surveillance</t>
  </si>
  <si>
    <t>['Delphi Process', 'Analytic Hierarchy Process']</t>
  </si>
  <si>
    <t>Economy</t>
  </si>
  <si>
    <t>GDP growth rate</t>
  </si>
  <si>
    <t>['Entropy TOPSIS model', 'Tobit model']</t>
  </si>
  <si>
    <t>Employment</t>
  </si>
  <si>
    <t>Density</t>
  </si>
  <si>
    <t>Employment density</t>
  </si>
  <si>
    <t>1;6</t>
  </si>
  <si>
    <t>1: ['Delphi', "Kendall's coefficient", "Cronbach's alpha value"]
6: ['Delphi Process', 'Analytic Hierarchy Process']</t>
  </si>
  <si>
    <t>Per capita fixed asset  investment; Economic growth</t>
  </si>
  <si>
    <t>['Grey relational degree', 'Entropy-TOPSIS model']</t>
  </si>
  <si>
    <t>no se bien que dominio ponerle</t>
  </si>
  <si>
    <t>Per capita GDP; Economic growth</t>
  </si>
  <si>
    <t>Per capita local fiscal  general budget revenue; Economic growth</t>
  </si>
  <si>
    <t>Per-visitor expenditure in the tourism economy; Tourism</t>
  </si>
  <si>
    <t>['Delphi method', 'GIS-based spatial analysis']</t>
  </si>
  <si>
    <t>City</t>
  </si>
  <si>
    <t>?</t>
  </si>
  <si>
    <t>Urbanization rate</t>
  </si>
  <si>
    <t>Direct employment levels within the tourism sector; Tourism</t>
  </si>
  <si>
    <t>Registered urban unemployment</t>
  </si>
  <si>
    <t>['Entropy measure']</t>
  </si>
  <si>
    <t>Household</t>
  </si>
  <si>
    <t>Job security</t>
  </si>
  <si>
    <t>Need to determine the correct lens</t>
  </si>
  <si>
    <t>Mixture</t>
  </si>
  <si>
    <t>Variety of job opportunities</t>
  </si>
  <si>
    <t>quantity</t>
  </si>
  <si>
    <t>Height (Number of floors)</t>
  </si>
  <si>
    <t>['Fuzzy DEMATEL', 'Weighted Linear Combination (WLC),']</t>
  </si>
  <si>
    <t>Income</t>
  </si>
  <si>
    <t>Average monthly cost of living per person (฿, baht)</t>
  </si>
  <si>
    <t>['Identification of measurable spatial indicators, how they can me calculated and monitored']</t>
  </si>
  <si>
    <t>Monthly Household Income (In PKR*1 USD = 123.24 PKR (Sept, 2018))</t>
  </si>
  <si>
    <t>['Likert scale']</t>
  </si>
  <si>
    <t>Household expenditure on all forms of entertainment; Entertainment and Hobbies</t>
  </si>
  <si>
    <t>Spatial income of the residents</t>
  </si>
  <si>
    <t>Percentage of households having  access to the main source of drinking  water within the premises</t>
  </si>
  <si>
    <t>['Supervised classification in Erdas Imagine Software.', 'regression']</t>
  </si>
  <si>
    <t>Percentage of households having  access to treated tap water for drinking purposes</t>
  </si>
  <si>
    <t>Percentage of households having  electricity</t>
  </si>
  <si>
    <t>Percentage of households having  waste water outlets connected to  drainage</t>
  </si>
  <si>
    <t>Percentage of households having bathing  facility within the premises</t>
  </si>
  <si>
    <t>aplican???</t>
  </si>
  <si>
    <t>Percentage of households having latrine  facility within the premises</t>
  </si>
  <si>
    <t>Percentage of households with the condition of Census House as Livable</t>
  </si>
  <si>
    <t>Education level</t>
  </si>
  <si>
    <t>4; 7</t>
  </si>
  <si>
    <t>4: ['Objective indicators; raw statistical indicators from yearbooks and government sources', 'Subjective indicators; survey responses using 5-point Likert scale', 'Explanatory variables were standardized (z-scores) before modeling to make coefficients comparable']
7: ['Likert scale']</t>
  </si>
  <si>
    <t>Crime</t>
  </si>
  <si>
    <t>Perception</t>
  </si>
  <si>
    <t>Improvement in public perception of safety from a rating of 3 to 2 on a 5-point scale; Security</t>
  </si>
  <si>
    <t>Maintenance of violent crime at a severity rating of 1 on a 5-point scale; Security</t>
  </si>
  <si>
    <t>Health &amp; Healthcare</t>
  </si>
  <si>
    <t>Casualty</t>
  </si>
  <si>
    <t>['Hierarchical Modelling using Analytic Hierarchy Process (AHP)']</t>
  </si>
  <si>
    <t>Diversity</t>
  </si>
  <si>
    <t>Income level</t>
  </si>
  <si>
    <t>[Intercept survey around UGS]</t>
  </si>
  <si>
    <t>Pedestrian count</t>
  </si>
  <si>
    <t>Quantity; Presence</t>
  </si>
  <si>
    <t>Holders of a state welfare card in Bangkok (count)</t>
  </si>
  <si>
    <t>Rate</t>
  </si>
  <si>
    <t>Crime rate</t>
  </si>
  <si>
    <t>1;6;21</t>
  </si>
  <si>
    <t>Marital situation</t>
  </si>
  <si>
    <t>Mental and behavioural disorder outpatients (count)</t>
  </si>
  <si>
    <t>Number of doctors per 1000 population</t>
  </si>
  <si>
    <t>Change to social infrastructure?</t>
  </si>
  <si>
    <t>['Not specified']</t>
  </si>
  <si>
    <t>Street furniture (seats, info kiosks)</t>
  </si>
  <si>
    <t>1; 6</t>
  </si>
  <si>
    <t>Public Transport</t>
  </si>
  <si>
    <t>Number of buses per  10,000 people; Urban public service capacity</t>
  </si>
  <si>
    <t>Falta dominio de edificios</t>
  </si>
  <si>
    <t>Resources</t>
  </si>
  <si>
    <t>Energy consumption per  unit of GDP; Resource consumption and utilization</t>
  </si>
  <si>
    <t>no se como clasificarlo, me confuncio un poco</t>
  </si>
  <si>
    <t>Per capita household  electricity consumption; Resource consumption and utilization</t>
  </si>
  <si>
    <t>Participación ciudadana</t>
  </si>
  <si>
    <t>Public Services</t>
  </si>
  <si>
    <t>Area?</t>
  </si>
  <si>
    <t>Contact with city officials</t>
  </si>
  <si>
    <t>['Likert Scale Measurement', 'One-Way ANOVA', 'Descriptive Statistics', 'Post Hoc (Tukey) Test', 'Mann-Whitney U Test', 'Qualitative Thematic Analysis']</t>
  </si>
  <si>
    <t>Urban Morphology</t>
  </si>
  <si>
    <t>BF11 Good views through the plot</t>
  </si>
  <si>
    <t>['Field observation']</t>
  </si>
  <si>
    <t>Municipal compliance with the implementation of formal urban design regulations; Urban Design</t>
  </si>
  <si>
    <t>Per capita urban construction land area; Urban construction and population</t>
  </si>
  <si>
    <t>3; 31</t>
  </si>
  <si>
    <t>3: ['Entropy TOPSIS model', 'Tobit model']
31: ['Grey relational degree', 'Entropy-TOPSIS model']</t>
  </si>
  <si>
    <t>Affordable Housing</t>
  </si>
  <si>
    <t>Building design</t>
  </si>
  <si>
    <t>BF-1 Housing form and density</t>
  </si>
  <si>
    <t>['Design Analysis', 'Space syntax analysis', 'Airflow simulations', 'Daylight simulations']</t>
  </si>
  <si>
    <t>Quality; Presence</t>
  </si>
  <si>
    <t>Transportation</t>
  </si>
  <si>
    <t>Presence</t>
  </si>
  <si>
    <t>Availability of affordable housing</t>
  </si>
  <si>
    <t>22: Accesibility; Equity
27: Quantity</t>
  </si>
  <si>
    <t>Housing affordability</t>
  </si>
  <si>
    <t>22; 27</t>
  </si>
  <si>
    <t>22: ['N/A']
27: (median housing cost relative to income)</t>
  </si>
  <si>
    <t>Quantity; Equity</t>
  </si>
  <si>
    <t>Land and house price</t>
  </si>
  <si>
    <t xml:space="preserve">
16: ['Exploratory Factor Analysis', 'Standard Deviational Ellipse,', 'Hot Spot Analysis,', 'Network Analysis']</t>
  </si>
  <si>
    <t>Utility costs</t>
  </si>
  <si>
    <t>Risks</t>
  </si>
  <si>
    <t>Air Quality</t>
  </si>
  <si>
    <t>Air quality</t>
  </si>
  <si>
    <t>18;22</t>
  </si>
  <si>
    <t>1: ['Delphi', "Kendall's coefficient", "Cronbach's alpha value"]
6: ['Delphi Process', 'Analytic Hierarchy Process']
18: ['Analytic Hierarchy Process (AHP)']
22: ['N/A']</t>
  </si>
  <si>
    <t>Quantity; Quality</t>
  </si>
  <si>
    <t>Annual average nitrogen dioxide (1-e6 mmol/m²)</t>
  </si>
  <si>
    <t>Sentinel-5P NRTI NO2: Near Real-Time Nitrogen Dioxide (https://developers.google.com/earth-engine/datasets/catalog/COPERNICUS_S5P_NRTI_L3_NO2?hl=es-419)</t>
  </si>
  <si>
    <t>Air quality monitoring stations</t>
  </si>
  <si>
    <t>This is referring to infrastructure</t>
  </si>
  <si>
    <t>Industrial sulfur dioxide emissions</t>
  </si>
  <si>
    <t>Number of days PM 2.5 exceeds Thai standard (50 µg/m³)</t>
  </si>
  <si>
    <t>Number of days PM 2.5 exceeds WHO standard (25 µg/m³)</t>
  </si>
  <si>
    <t>Number of days with good air quality</t>
  </si>
  <si>
    <t>Per capita SO2 emissions</t>
  </si>
  <si>
    <t>31, 3</t>
  </si>
  <si>
    <t>3: ['Entropy TOPSIS model', 'Tobit model']
31:['Grey relational degree', 'Entropy-TOPSIS model']</t>
  </si>
  <si>
    <t>Suitable air quality</t>
  </si>
  <si>
    <t>['Exploratory Factor Analysis', 'Standard Deviational Ellipse,', 'Hot Spot Analysis,', 'Network Analysis']</t>
  </si>
  <si>
    <t>Per capita housing area</t>
  </si>
  <si>
    <t>The number of days the air quality of cities reaches the standard</t>
  </si>
  <si>
    <t>['Objective indicators; raw statistical indicators from yearbooks and government sources', 'Subjective indicators; survey responses using 5-point Likert scale', 'Explanatory variables were standardized (z-scores) before modeling to make coefficients comparable']</t>
  </si>
  <si>
    <t>Buildings</t>
  </si>
  <si>
    <t>BF17 Brokenness: measure of the degree to which an urban form can be fragmented.</t>
  </si>
  <si>
    <t>['Design Analysis', 'Airflow simulations']</t>
  </si>
  <si>
    <t>BF-7 Building morphology and arrangement</t>
  </si>
  <si>
    <t>Building height</t>
  </si>
  <si>
    <t>BF-3 Number of storeys/building height</t>
  </si>
  <si>
    <t>BF-4 Difference in building height in neighbourhood</t>
  </si>
  <si>
    <t>SN1 Canyon/aspect ratio i.e. height of building: width of adjacent road</t>
  </si>
  <si>
    <t>['Space syntax analysis', 'Airflow simulations']</t>
  </si>
  <si>
    <t>BF-6 Colour and material harmony</t>
  </si>
  <si>
    <t>['Field observation', 'Questionnaire']</t>
  </si>
  <si>
    <t>BF13 Compactness ratio: ratio of area and perimeter of an urban form</t>
  </si>
  <si>
    <t>Block Size</t>
  </si>
  <si>
    <t>Built up Density</t>
  </si>
  <si>
    <t>Indicator</t>
  </si>
  <si>
    <t>['Delphi', "Kendall's coefficient", "Cronbach's alpha value"]</t>
  </si>
  <si>
    <t>Building footprint</t>
  </si>
  <si>
    <t>['Analytical hierarchy process']</t>
  </si>
  <si>
    <t>BF-2 Proportion and scale of space enclosed by buildings</t>
  </si>
  <si>
    <t>['Design Analysis', 'Airflow simulations', 'Daylight simulations']</t>
  </si>
  <si>
    <t>BF19 Form factor: ratio of surface area to the volume of urban form</t>
  </si>
  <si>
    <t>BF16 Fractalness: measure of the degree of self-similar repetitiveness of an element in housing form layout or the complexity of a spatial structure</t>
  </si>
  <si>
    <t>BF14 Shape index: ratio of perimeter to area</t>
  </si>
  <si>
    <t>BF15 Slenderness ratio: ratio of height and width of shape of an urban form</t>
  </si>
  <si>
    <t>Community, culture &amp; leisure</t>
  </si>
  <si>
    <t>Community Facilities</t>
  </si>
  <si>
    <t>Community centres</t>
  </si>
  <si>
    <t>Accesibility</t>
  </si>
  <si>
    <t>Access to community centres</t>
  </si>
  <si>
    <t>Youth centres</t>
  </si>
  <si>
    <t>Number of youth centres</t>
  </si>
  <si>
    <t>Public utility</t>
  </si>
  <si>
    <t>Lense</t>
  </si>
  <si>
    <t>Building Height</t>
  </si>
  <si>
    <t>building frontage/ Windows Facing street/ Façade</t>
  </si>
  <si>
    <t>Eyes on the street</t>
  </si>
  <si>
    <t>Neighbourhood amenity</t>
  </si>
  <si>
    <t>Accessibility</t>
  </si>
  <si>
    <t>Access to Amenities</t>
  </si>
  <si>
    <t xml:space="preserve">Access to services and infrastructures </t>
  </si>
  <si>
    <t>Beneficiary satisfaction with municipal infrastructure services and public amenities; Urban Design</t>
  </si>
  <si>
    <t>Display of emergency contact numbers</t>
  </si>
  <si>
    <t>Proximity</t>
  </si>
  <si>
    <t>Distance to post office</t>
  </si>
  <si>
    <t>['Analytic Hierarchy Process (AHP)']</t>
  </si>
  <si>
    <t>Public services</t>
  </si>
  <si>
    <t>Access to quality public services (e.g., waste collection, public parks)</t>
  </si>
  <si>
    <t>Presence; Quantity</t>
  </si>
  <si>
    <t>Public toilets in recreational areas are  sufficient</t>
  </si>
  <si>
    <t>Availability of broadband internet access</t>
  </si>
  <si>
    <t>Drinking Water Facilities</t>
  </si>
  <si>
    <t>Presence, Proximity</t>
  </si>
  <si>
    <t>Neighborhood amenities</t>
  </si>
  <si>
    <t>Proximity to Civic bodies</t>
  </si>
  <si>
    <t>Proximity to civic bodies</t>
  </si>
  <si>
    <t xml:space="preserve">Visits to youth centres </t>
  </si>
  <si>
    <t>The share of consumer expenditures allocated to cultural performances; Culture and Heritage</t>
  </si>
  <si>
    <t>Washrooms/ Public Toilets</t>
  </si>
  <si>
    <t xml:space="preserve">Subdomain  </t>
  </si>
  <si>
    <t>Culture &amp; Leisure</t>
  </si>
  <si>
    <t>Historical architecture</t>
  </si>
  <si>
    <t>['machine learning is integrated into semantic image segmentation technique to extract green pixels from the street view images using the scene  parsing method; SVG', 'entropy index  (relative percentage of various land-use types)']</t>
  </si>
  <si>
    <t>Community, Culture &amp; Leisure</t>
  </si>
  <si>
    <t>Availability of public amenities (cinemas and clubs)</t>
  </si>
  <si>
    <t>Average distance to the nearest community facilities</t>
  </si>
  <si>
    <t>['Distance-based accessibility measures', 'Objective environmental and neighbourhood indicators', 'Resident perception surveys using 5-point Likert scales', 'Satisfaction-based scoring for each livability dimension']</t>
  </si>
  <si>
    <t>Public library collection per one hundred person</t>
  </si>
  <si>
    <t>Number of theaters and cinemas</t>
  </si>
  <si>
    <t>Number of cultural centers</t>
  </si>
  <si>
    <t>The inventory of nationally recognized heritage sites accessible to visitors; Culture and Heritage</t>
  </si>
  <si>
    <t>The total stock of cultural infrastructure; Culture and Heritage</t>
  </si>
  <si>
    <t>The quantity of dedicated entertainment venues; Entertainment and Hobbies</t>
  </si>
  <si>
    <t>Libraries</t>
  </si>
  <si>
    <t>Distance to library</t>
  </si>
  <si>
    <t>Number of libraries</t>
  </si>
  <si>
    <t>3;16</t>
  </si>
  <si>
    <t>3: ['Entropy TOPSIS model', 'Tobit model']
16: ['Exploratory Factor Analysis', 'Standard Deviational Ellipse,', 'Hot Spot Analysis,', 'Network Analysis']</t>
  </si>
  <si>
    <t>Number of libraries per  10,000 people; Urban public service capacity</t>
  </si>
  <si>
    <t>4; 31</t>
  </si>
  <si>
    <t>4: ['Objective indicators; raw statistical indicators from yearbooks and government sources', 'Subjective indicators; survey responses using 5-point Likert scale', 'Explanatory variables were standardized (z-scores) before modeling to make coefficients comparable']
31: ['Grey relational degree', 'Entropy-TOPSIS model']</t>
  </si>
  <si>
    <t>Public library collections per capita</t>
  </si>
  <si>
    <t>Museums</t>
  </si>
  <si>
    <t xml:space="preserve">Number of museums </t>
  </si>
  <si>
    <t>Overall satisfaction with the street</t>
  </si>
  <si>
    <t>Satisfaction by user group (residents, shopkeepers, traders)</t>
  </si>
  <si>
    <t>Satisfaction with local government services</t>
  </si>
  <si>
    <t>Religion (Distance (m))</t>
  </si>
  <si>
    <t>Sense of belonging</t>
  </si>
  <si>
    <t>Street perceived as “home” vs “place to live”</t>
  </si>
  <si>
    <t>Religious buildings</t>
  </si>
  <si>
    <t>Availability of worship places</t>
  </si>
  <si>
    <t>Restaurants</t>
  </si>
  <si>
    <t>Availability of restaurants</t>
  </si>
  <si>
    <t>Access to shops</t>
  </si>
  <si>
    <t>Historical symbols and signs in the neighborhood</t>
  </si>
  <si>
    <t>Recreational areas</t>
  </si>
  <si>
    <t>Public open spaces</t>
  </si>
  <si>
    <t>Location of  recreational areas is  appropriate</t>
  </si>
  <si>
    <t>Public transport</t>
  </si>
  <si>
    <t>Proximity of  recreational areas to a  variety of transportation options</t>
  </si>
  <si>
    <t>Access to the  recreational areas and  related issues are  clear</t>
  </si>
  <si>
    <t>Distance to recreation facility</t>
  </si>
  <si>
    <t xml:space="preserve">Number of temples </t>
  </si>
  <si>
    <t>13; 16</t>
  </si>
  <si>
    <t>13: ['Identification of measurable spatial indicators, how they can me calculated and monitored']
16: ['Exploratory Factor Analysis', 'Standard Deviational Ellipse,', 'Hot Spot Analysis,', 'Network Analysis']</t>
  </si>
  <si>
    <t>Access to temples</t>
  </si>
  <si>
    <t>Distance to religious centres</t>
  </si>
  <si>
    <t>['Proximity analysis following digitization and Euclidean distance computation']</t>
  </si>
  <si>
    <t>Neighborhood Social Relationship (Neighborhood opportunities –Number of apartments in floor)</t>
  </si>
  <si>
    <t>Distance to sports centres/multiplexes</t>
  </si>
  <si>
    <t>Ownership rate</t>
  </si>
  <si>
    <t>Number of city museums in the city</t>
  </si>
  <si>
    <t>Number of communications (chatting), while meeting each other in last month</t>
  </si>
  <si>
    <t>Number of social contacts on street and other public spaces in the last month</t>
  </si>
  <si>
    <t>Ownership/Identity (Protection rate, Texture continuity)</t>
  </si>
  <si>
    <t>Residents’ satisfaction with the dwelling space</t>
  </si>
  <si>
    <t>Tourism location</t>
  </si>
  <si>
    <t>The supply of tourist accommodation, measured in hotel rooms and serviced apartments; Tourism</t>
  </si>
  <si>
    <t>The availability of mass media outlets (e.g. radio stations, television channels, newspapers); Entertainment and Hobbies</t>
  </si>
  <si>
    <t>Food Environment</t>
  </si>
  <si>
    <t>Markets</t>
  </si>
  <si>
    <t>Number of markets</t>
  </si>
  <si>
    <t>Physical Activity</t>
  </si>
  <si>
    <t>Public open space</t>
  </si>
  <si>
    <t>Areas for passive recreation and physical activity</t>
  </si>
  <si>
    <t xml:space="preserve">Number of sport centres </t>
  </si>
  <si>
    <t>Number of sport yards</t>
  </si>
  <si>
    <t>Sports centres</t>
  </si>
  <si>
    <t>Visits to sport centres</t>
  </si>
  <si>
    <t>Visits to sport yards</t>
  </si>
  <si>
    <t>Sociocultural (Distance (m))</t>
  </si>
  <si>
    <t>Land Use</t>
  </si>
  <si>
    <t>SN9 Temporary use and shared use of space</t>
  </si>
  <si>
    <t>Convenience Destinations</t>
  </si>
  <si>
    <t>Distance to commercial markets</t>
  </si>
  <si>
    <t>Minimarts</t>
  </si>
  <si>
    <t>Number of minimarts</t>
  </si>
  <si>
    <t>Distance to petrol pumps</t>
  </si>
  <si>
    <t>Distance to gas station</t>
  </si>
  <si>
    <t>Sports (Distance (m))</t>
  </si>
  <si>
    <t>Person density in a dwelling unit</t>
  </si>
  <si>
    <t>Person density per room</t>
  </si>
  <si>
    <t>Active Travel</t>
  </si>
  <si>
    <t>Cycling infrastructure</t>
  </si>
  <si>
    <t>Bikeability and biking lane availability; Infrastructure and Accessibility</t>
  </si>
  <si>
    <t>proximity</t>
  </si>
  <si>
    <t xml:space="preserve">Playground (Distance(m)) </t>
  </si>
  <si>
    <t>Demographics</t>
  </si>
  <si>
    <t>Family income (RMB): 1 = [0, 3000]</t>
  </si>
  <si>
    <t>household statistics o de empleo?</t>
  </si>
  <si>
    <t>Registered farmer households expected to be impacted by drought (count)</t>
  </si>
  <si>
    <t>Homeownership</t>
  </si>
  <si>
    <t>7; 19</t>
  </si>
  <si>
    <t>7: ['Likert scale']
19: ['machine learning is integrated into semantic image segmentation technique to extract green pixels from the street view images using the scene  parsing method; SVG', 'entropy index  (relative percentage of various land-use types)']</t>
  </si>
  <si>
    <t>Saudi national or expatriate</t>
  </si>
  <si>
    <t>The population density; Urban construction  and population</t>
  </si>
  <si>
    <t>Number of people receiving unemployment insurance benefits at the end of the year</t>
  </si>
  <si>
    <t>Occupation</t>
  </si>
  <si>
    <t>8; 15</t>
  </si>
  <si>
    <t>8: ['Hierarchical Modelling using Analytic Hierarchy Process (AHP)']
15: ['Likert scale']</t>
  </si>
  <si>
    <t>Age</t>
  </si>
  <si>
    <t>15; 19</t>
  </si>
  <si>
    <t>15: ['Likert scale']
19: ['machine learning is integrated into semantic image segmentation technique to extract green pixels from the street view images using the scene  parsing method; SVG', 'entropy index  (relative percentage of various land-use types)']</t>
  </si>
  <si>
    <t>Age groups</t>
  </si>
  <si>
    <t>Average age (years)</t>
  </si>
  <si>
    <t>Equity</t>
  </si>
  <si>
    <t>Coefficient of inequality</t>
  </si>
  <si>
    <t>Gender</t>
  </si>
  <si>
    <t>4: ['Objective indicators; raw statistical indicators from yearbooks and government sources', 'Subjective indicators; survey responses using 5-point Likert scale', 'Explanatory variables were standardized (z-scores) before modeling to make coefficients comparable']
6: ['Delphi Process', 'Analytic Hierarchy Process']
19: ['machine learning is integrated into semantic image segmentation technique to extract green pixels from the street view images using the scene  parsing method; SVG', 'entropy index  (relative percentage of various land-use types)']
30: [Intercept survey around UGS]</t>
  </si>
  <si>
    <t>Natural population  growth rate; Urban construction and population</t>
  </si>
  <si>
    <t>Number of employees in the culture, sports and entertainment industry</t>
  </si>
  <si>
    <t>Percentage of population with college and above</t>
  </si>
  <si>
    <t xml:space="preserve">Quantity </t>
  </si>
  <si>
    <t>The proportion of the population engaging in weekly sports and physical activity; Sports</t>
  </si>
  <si>
    <t>Total population</t>
  </si>
  <si>
    <t>[GIS mapping]</t>
  </si>
  <si>
    <t>Education</t>
  </si>
  <si>
    <t>Average National General Education (Ordinary National Educational Test, O-NET) score for BMA primary schools for each of four core subjects (Thai, mathematics, science and English)</t>
  </si>
  <si>
    <t>Educational qualification</t>
  </si>
  <si>
    <t>Number of students covered by full-time teachers in primary and secondary schools</t>
  </si>
  <si>
    <t>Appropriate residents’ income rate</t>
  </si>
  <si>
    <t>Employment rate</t>
  </si>
  <si>
    <t>Employment status</t>
  </si>
  <si>
    <t>Employment type</t>
  </si>
  <si>
    <t>Fixed asset investment rate</t>
  </si>
  <si>
    <t>The unemployment rate; Urban public service  capacity</t>
  </si>
  <si>
    <t>The workforce size within the cultural industries; Culture and Heritage</t>
  </si>
  <si>
    <t>Unemployment rate</t>
  </si>
  <si>
    <t>3; 16; 17</t>
  </si>
  <si>
    <t>3: ['Entropy TOPSIS model', 'Tobit model']
16: ['Exploratory Factor Analysis', 'Standard Deviational Ellipse,', 'Hot Spot Analysis,', 'Network Analysis']
17: ['Not specified']</t>
  </si>
  <si>
    <t>Average one-way commute time within the five largest metropolitan areas; Urban Design</t>
  </si>
  <si>
    <t>Fire</t>
  </si>
  <si>
    <t>Fire incidence (count)</t>
  </si>
  <si>
    <t>A Fire risk should be added too</t>
  </si>
  <si>
    <t>Fire incidence rate by population</t>
  </si>
  <si>
    <t>checar clasificacion</t>
  </si>
  <si>
    <t>Flooding</t>
  </si>
  <si>
    <t>Average days of flooding (main road flood areas)</t>
  </si>
  <si>
    <t>Average maximum intensity (main road flood areas)</t>
  </si>
  <si>
    <t xml:space="preserve">Risk Atlas layers for Mexicali (https://www.mexicali.gob.mx/sitioimip/geovisor/geovisor/?geovisor_id=2&amp;access_token=) </t>
  </si>
  <si>
    <t>Main road flood area location count</t>
  </si>
  <si>
    <t>Vulnerable flood area count</t>
  </si>
  <si>
    <t>Family size: The number of family members</t>
  </si>
  <si>
    <t>Health &amp; Social Services</t>
  </si>
  <si>
    <t>Health centres</t>
  </si>
  <si>
    <t>Distance to health centres</t>
  </si>
  <si>
    <t>19; 20</t>
  </si>
  <si>
    <t>19: ['machine learning is integrated into semantic image segmentation technique to extract green pixels from the street view images using the scene  parsing method; SVG', 'entropy index  (relative percentage of various land-use types)']
20: ['Proximity analysis following digitization and Euclidean distance computation']</t>
  </si>
  <si>
    <t>Health centres (count)</t>
  </si>
  <si>
    <t>Healthcare Centres / Medical Centres per 1000 persons</t>
  </si>
  <si>
    <t>Number of hospital beds per 1000 population</t>
  </si>
  <si>
    <t>Hospitals</t>
  </si>
  <si>
    <t>Hospital and public health center</t>
  </si>
  <si>
    <t>Hospital beds per 1,000 people</t>
  </si>
  <si>
    <t>Hospitals per 1000 persons</t>
  </si>
  <si>
    <t>Number of beds in  medical and health  institutions</t>
  </si>
  <si>
    <t>3;31</t>
  </si>
  <si>
    <t>Access to health facilities</t>
  </si>
  <si>
    <t>Pharmacies</t>
  </si>
  <si>
    <t>Medical Stores per 1000 persons</t>
  </si>
  <si>
    <t>Health (Distance (m))</t>
  </si>
  <si>
    <t>Fire station</t>
  </si>
  <si>
    <t>Distance (m)</t>
  </si>
  <si>
    <t>Distance to fire station</t>
  </si>
  <si>
    <t>Combined vital diseases (mental and behavioural disorders, hypertension, diabetes outpatients) (count)</t>
  </si>
  <si>
    <t>Diabetes outpatients (count)</t>
  </si>
  <si>
    <t>Heat</t>
  </si>
  <si>
    <t>Urban heat island</t>
  </si>
  <si>
    <t>enfoque?</t>
  </si>
  <si>
    <t>Dwelling Condition</t>
  </si>
  <si>
    <t>Sense of privacy in dwelling units</t>
  </si>
  <si>
    <t>Dwelling Typology</t>
  </si>
  <si>
    <t>Housing diversity (variety of housing types and sizes); Housing</t>
  </si>
  <si>
    <t>Industry</t>
  </si>
  <si>
    <t>Manufacturing district / centre</t>
  </si>
  <si>
    <t>Distance to manufacturing centres</t>
  </si>
  <si>
    <t>Distance to manufacturing district</t>
  </si>
  <si>
    <t>The economic contribution of the sports sector to the national gross domestic product; Sports</t>
  </si>
  <si>
    <t>Se queda? Indicator?</t>
  </si>
  <si>
    <t>The proportion of  tertiary industry; Economic growth</t>
  </si>
  <si>
    <t>The annual number of tourist arrivals; Tourism</t>
  </si>
  <si>
    <t>The contribution of the tourism industry to gross domestic product; Tourism</t>
  </si>
  <si>
    <t>Electric charging station/car chargers; Housing</t>
  </si>
  <si>
    <t>Road network</t>
  </si>
  <si>
    <t>Urban road area per capita</t>
  </si>
  <si>
    <t>Land</t>
  </si>
  <si>
    <t>Land use type</t>
  </si>
  <si>
    <t>Cultivated land; LUT</t>
  </si>
  <si>
    <t>['Analytic Hierarchy Profess (AHP)', 'Delphi method', 'Literature analysis']</t>
  </si>
  <si>
    <t>Unused land; LUT</t>
  </si>
  <si>
    <t>Availability of parking; Housing</t>
  </si>
  <si>
    <t>Quality of materials</t>
  </si>
  <si>
    <t>Distance to built-up</t>
  </si>
  <si>
    <t>que es eso?</t>
  </si>
  <si>
    <t>Participation in decision-making</t>
  </si>
  <si>
    <t>Quantity; Density</t>
  </si>
  <si>
    <t>Per capita urban construction land area</t>
  </si>
  <si>
    <t>BF10 Different residential plot sizes</t>
  </si>
  <si>
    <t>['Design Analysis']</t>
  </si>
  <si>
    <t>BF-9 Houses plots arranged to face front sides and parklands</t>
  </si>
  <si>
    <t>['Design Analysis', 'Field observation', 'Airflow simulations']</t>
  </si>
  <si>
    <t>Land use mix</t>
  </si>
  <si>
    <t>Diversity (Land Use)</t>
  </si>
  <si>
    <t>['GIS-based spatial diagnostics']</t>
  </si>
  <si>
    <t>Land use diversity</t>
  </si>
  <si>
    <t>Land Use area</t>
  </si>
  <si>
    <t>BF12 Varying density near activity centre of a neighbourhood</t>
  </si>
  <si>
    <t>['Design Analysis', 'Field observation']</t>
  </si>
  <si>
    <t>Availability of mixed-use developments that blend housing with commercial and recreational spaces</t>
  </si>
  <si>
    <t>BF-5 Provision of mixed-use buildings</t>
  </si>
  <si>
    <t>Number of parking</t>
  </si>
  <si>
    <t>Green Infrastructure</t>
  </si>
  <si>
    <t>OS10 Management of the space; Integrated open space</t>
  </si>
  <si>
    <t>['Space syntax analysis']</t>
  </si>
  <si>
    <t xml:space="preserve">It is not clear what this indicator measures, it just says that it is calculated using Space Syntax </t>
  </si>
  <si>
    <t>OS11 Sense of hierarchy between public and private space; Integrated open space</t>
  </si>
  <si>
    <t>Quality; Accesibility</t>
  </si>
  <si>
    <t>OS13 Quality of access to the residential public spaces; Integrated open space</t>
  </si>
  <si>
    <t>['Space syntax analysis', 'Field observation']</t>
  </si>
  <si>
    <t>OS17 Percent houses within a distance from any neighbourhood park; Integrated open space</t>
  </si>
  <si>
    <t>[Space syntax analysis']</t>
  </si>
  <si>
    <t>Residential area</t>
  </si>
  <si>
    <t>density</t>
  </si>
  <si>
    <t>sq m of Residential area per capita</t>
  </si>
  <si>
    <t>Per capita residential  land area</t>
  </si>
  <si>
    <t>Ratio of gross floor area relative to total 
land area</t>
  </si>
  <si>
    <t>Number of health care organizations</t>
  </si>
  <si>
    <t>Household size</t>
  </si>
  <si>
    <t>Self-reported involvement in various community activities at in last 12 months</t>
  </si>
  <si>
    <t>Transport used</t>
  </si>
  <si>
    <t>Hypertension outpatients (count)</t>
  </si>
  <si>
    <t>Ambient</t>
  </si>
  <si>
    <t>Noise</t>
  </si>
  <si>
    <t>10: ['Fuzzy DEMATEL', 'Weighted Linear Combination (WLC),']
12: ['Likert Scale Measurement', 'One-Way ANOVA', 'Descriptive Statistics', 'Post Hoc (Tukey) Test', 'Mann-Whitney U Test', 'Qualitative Thematic Analysis']</t>
  </si>
  <si>
    <t>Usage Diversity (Diversity in area usage)</t>
  </si>
  <si>
    <t>Average regional ambient noise</t>
  </si>
  <si>
    <t>checar indicator</t>
  </si>
  <si>
    <t>Satisfaction with garbage collection</t>
  </si>
  <si>
    <t>Pedestrian Infrastructure</t>
  </si>
  <si>
    <t>Pedestrian infrastructure</t>
  </si>
  <si>
    <t>Pedestrian-friendly infrastructure (e.g., sidewalks, crosswalks); Infrastructure and Accessibility</t>
  </si>
  <si>
    <t>Noise hindrance due to moving traffic</t>
  </si>
  <si>
    <t>Places to sit (chairs and benches) are  sufficient</t>
  </si>
  <si>
    <t>Guard rails</t>
  </si>
  <si>
    <t>Rubbish bins are  sufficient</t>
  </si>
  <si>
    <t>Crossing facilities</t>
  </si>
  <si>
    <t>1: 'Delphi', "Kendall's coefficient", "Cronbach's alpha value"]
6: ['Delphi Process', 'Analytic Hierarchy Process']</t>
  </si>
  <si>
    <t>Street light infrastructure</t>
  </si>
  <si>
    <t>Curb height</t>
  </si>
  <si>
    <t>Curb Ramps/Ramp gradient</t>
  </si>
  <si>
    <t>Garbage</t>
  </si>
  <si>
    <t>Availability of garbage collection services</t>
  </si>
  <si>
    <t>Lighting/ Clear visibility</t>
  </si>
  <si>
    <t>Nonmotorized Vehicle (Number of solutions)</t>
  </si>
  <si>
    <t>Police station</t>
  </si>
  <si>
    <t>Distance to police station</t>
  </si>
  <si>
    <t>18;20;8</t>
  </si>
  <si>
    <t>18: ['Analytic Hierarchy Process (AHP)']
20: ['Proximity analysis following digitization and Euclidean distance computation']
21: ['Kernel Density Estimation (KDE) to identify spatial clusters of walkability-related  features', 'Line Density Analysis to measure connectivity of pedestrian infrastructure. These  methods complement each other by capturing both the qualitative and quantitative aspects  of walkability']
8: ['Hierarchical Modelling using Analytic Hierarchy Process (AHP)']</t>
  </si>
  <si>
    <t>Pedestrian/Disabled (Number of solutions)</t>
  </si>
  <si>
    <t>Obstructions</t>
  </si>
  <si>
    <t>Ped-vehicle crash rate</t>
  </si>
  <si>
    <t>Presence; Proximity</t>
  </si>
  <si>
    <t>Location of Police station and mitigation office</t>
  </si>
  <si>
    <t>Movement hazards for children, elderly and disabled</t>
  </si>
  <si>
    <t>Rain shelter</t>
  </si>
  <si>
    <t>1: ['Delphi', "Kendall's coefficient", "Cronbach's alpha value"]
16: ['Delphi Process', 'Analytic Hierarchy Process']</t>
  </si>
  <si>
    <t>Number of fire station</t>
  </si>
  <si>
    <t>Road accident locations</t>
  </si>
  <si>
    <t>Number of locations with reported road accidents</t>
  </si>
  <si>
    <t>Number of main road traffic jams</t>
  </si>
  <si>
    <t>Overall perception of safety</t>
  </si>
  <si>
    <t>Refuge islands/median</t>
  </si>
  <si>
    <t>Surface condition</t>
  </si>
  <si>
    <t xml:space="preserve">User Diversity (Suitability for varying users (disabled, child, old, etc.)) </t>
  </si>
  <si>
    <t>Pedestrian Infrastructure; Cycling Infrastructure</t>
  </si>
  <si>
    <t>Area</t>
  </si>
  <si>
    <t>Ped-vehicle crash rate/ Ped fatality rate</t>
  </si>
  <si>
    <t>Public Open Spaces</t>
  </si>
  <si>
    <t>Availability of parks and playgrounds</t>
  </si>
  <si>
    <t>Public Areas (Diversity)</t>
  </si>
  <si>
    <t>Open layout design is  captivating</t>
  </si>
  <si>
    <t xml:space="preserve">Subjetivo  </t>
  </si>
  <si>
    <t>BF20 Courtyard design, size and type</t>
  </si>
  <si>
    <t>Distance to fields</t>
  </si>
  <si>
    <t>Number of green areas</t>
  </si>
  <si>
    <t>Total public green area per capita (m²)</t>
  </si>
  <si>
    <t>Access to Urban Green Spaces</t>
  </si>
  <si>
    <t>35: [Intercept survey around UGS]</t>
  </si>
  <si>
    <t>Access: The green spaces that were considered were only the publicly accessible ones that consist of parks,_x000D_gardens, and recreation areas managed by the municipalities._x000D_• Priority was given to amenities (e.g., green spaces still with some public amenities: walking paths, seating areas,_x000D_shaded zones, etc.) to ensure the usability of the spaces and a proper relationship with the public.</t>
  </si>
  <si>
    <t>Dust bins</t>
  </si>
  <si>
    <t>o Social --&gt; communnity facilities --&gt; public mservices</t>
  </si>
  <si>
    <t>Frequency of using community facilities, open spaces and public spaces per week</t>
  </si>
  <si>
    <t>Distance to park</t>
  </si>
  <si>
    <t>Number of parks</t>
  </si>
  <si>
    <t>Parks (Distance(m))</t>
  </si>
  <si>
    <t>Maintenance and cleanliness</t>
  </si>
  <si>
    <t>quality</t>
  </si>
  <si>
    <t>Material Quality of Urban Infrastructure</t>
  </si>
  <si>
    <t> </t>
  </si>
  <si>
    <t>Availability of outdoor play space</t>
  </si>
  <si>
    <t>Number of city parks in the city</t>
  </si>
  <si>
    <t>Public green space</t>
  </si>
  <si>
    <t>Average distance from home to the nearest UGS</t>
  </si>
  <si>
    <t>Urban green space size</t>
  </si>
  <si>
    <t>[Green spaces were identified and their areas calculated from high-resolution satellite imagery. For_x000D_this purpose, a green space was defined as an area with significant vegetation cover that is freely accessible to the_x000D_people, including parks, gardens, and recreation areas. The boundaries of the green open spaces were determined_x000D_from the actual municipal records and cross-checked against the GIS data.]</t>
  </si>
  <si>
    <t>Availability of open space</t>
  </si>
  <si>
    <t>Easy access by  walking to recreational open spaces</t>
  </si>
  <si>
    <t>OS1 % open space within SA; Integrated open space</t>
  </si>
  <si>
    <t>['Design Analysis', 'Space syntax analysis']</t>
  </si>
  <si>
    <t>Per capita provision of public squares and open spaces (in square meters); Urban Design</t>
  </si>
  <si>
    <t>Percentage of residents living within 400 metres of large (1.5 hectares or larger) public open space</t>
  </si>
  <si>
    <t xml:space="preserve">Percentage of residents living within 400 metres of public open space </t>
  </si>
  <si>
    <t>OS15 Visibility of public space; Integrated open space</t>
  </si>
  <si>
    <t>OS16 Access to parks; Integrated open space</t>
  </si>
  <si>
    <t>OS18 Universal design: designing open space accessible to all; Integrated open space</t>
  </si>
  <si>
    <t>OS19 Social space; Integrated open space</t>
  </si>
  <si>
    <t>OS2 Presence of green areas and public parks; Integrated open space</t>
  </si>
  <si>
    <t>OS20 Accessible parks and public open spaces; Integrated open space</t>
  </si>
  <si>
    <t>Quality; Quantity</t>
  </si>
  <si>
    <t>OS21 Appropriate quality/quantity of public open spaces; Integrated open space</t>
  </si>
  <si>
    <t>OS22 Appropriate design and structuring of parks; Integrated open space</t>
  </si>
  <si>
    <t>['Field observation', 'Airflow simulations']</t>
  </si>
  <si>
    <t>OS23 Ratio of positive to negative space; Integrated open space</t>
  </si>
  <si>
    <t>[''Space syntax analysis', 'Airflow simulations']</t>
  </si>
  <si>
    <t>OS25 Lighting of open space; Integrated open space</t>
  </si>
  <si>
    <t>OS3 % open space area of sub divisible land area; Integrated open space</t>
  </si>
  <si>
    <t>OS4 No. of open space available within land area; Integrated open space</t>
  </si>
  <si>
    <t>OS5 No. of local, neighbourhood, district, regional park; Integrated open space</t>
  </si>
  <si>
    <t>['Design Analysis', 'Space syntax analysis', 'Field observation']</t>
  </si>
  <si>
    <t>OS6 No. of open space by size/type within neighbourhood; Integrated open space</t>
  </si>
  <si>
    <t>OS7 Amount of integrated green space (public or private); Integrated open space</t>
  </si>
  <si>
    <t>Amount of  recreational open space is  sufficient</t>
  </si>
  <si>
    <t>Parks and Recreation</t>
  </si>
  <si>
    <t>Presence; Quality</t>
  </si>
  <si>
    <t>Shading elements are  sufficient</t>
  </si>
  <si>
    <t>Public spaces in the neighborhood</t>
  </si>
  <si>
    <t>Regular maintenance of public parks</t>
  </si>
  <si>
    <t>Regular maintenance of streets and neighborhood’s lighting</t>
  </si>
  <si>
    <t>Relaxation</t>
  </si>
  <si>
    <t>Equity; Proximity</t>
  </si>
  <si>
    <t>Spatial distribution of Urban Green Spaces</t>
  </si>
  <si>
    <t>[GIS mapping &amp; distance from residence]</t>
  </si>
  <si>
    <t>Use GIS mapping to assess the spatial distribution of green spaces across various socio-economic neighborhoods,_x000D_identifying disparities based on income, gender, and age. The target is to have at least 60% of participants living_x000D_within 1 km of a UGS.</t>
  </si>
  <si>
    <t>The number of natural scenic spots in the city</t>
  </si>
  <si>
    <t>Urban Green space presence</t>
  </si>
  <si>
    <t>[Green spaces were identified and their areas calculated from high-resolution satellite imagery.]</t>
  </si>
  <si>
    <t>An area of at least 0.5 hectares had to be a UGS._x000D_• Vegetation cover: Validated areas of identified land cover must include substantial vegetation or trees and shrubs_x000D_and or grass as verified through the Normalized Difference Vegetation Index (NDVI) analysis of satellite imagery_x000D_thresholds (NDVI ≥ 0.3).</t>
  </si>
  <si>
    <t>Space for Street vendors</t>
  </si>
  <si>
    <t xml:space="preserve">No viene en el documento </t>
  </si>
  <si>
    <t>Security (Number of securing devices/arrangements)</t>
  </si>
  <si>
    <t>Perceived degree of crime</t>
  </si>
  <si>
    <t>Perceived safety during day-time and night-time</t>
  </si>
  <si>
    <t>Perceived fairness of taxation</t>
  </si>
  <si>
    <t>Illumination</t>
  </si>
  <si>
    <t>Petty crimes (shoplifting, bag snatching, pickpocketing)</t>
  </si>
  <si>
    <t>Police Outposts per 1000 persons</t>
  </si>
  <si>
    <t>Police Stations per 1000 persons</t>
  </si>
  <si>
    <t>Recreational areas  interiors are visible  from the outside</t>
  </si>
  <si>
    <t>Quality; Proximity</t>
  </si>
  <si>
    <t>Recreational areas are  clearly visible from a  distance</t>
  </si>
  <si>
    <t>Resident Income</t>
  </si>
  <si>
    <t>Avg Annual Income</t>
  </si>
  <si>
    <t>Population or job statistics</t>
  </si>
  <si>
    <t>Footpaths</t>
  </si>
  <si>
    <t>SN10 Walking friendly environment</t>
  </si>
  <si>
    <t>SN2 Total footpath provision</t>
  </si>
  <si>
    <t>SN4 Well-lit pedestrian network</t>
  </si>
  <si>
    <t>SN5 Appropriate width of the footpaths and side walks</t>
  </si>
  <si>
    <t>SN6 Streetscape design</t>
  </si>
  <si>
    <t>Traffic accident fatalities</t>
  </si>
  <si>
    <t>Average wage; Living standard of  residents</t>
  </si>
  <si>
    <t>Per capita disposable income of rural residents; Living standard of  residents</t>
  </si>
  <si>
    <t>Per capita disposable income of urban  residents; Living standard of  residents</t>
  </si>
  <si>
    <t>Thermal comfort</t>
  </si>
  <si>
    <t>Advertisement Hoardings/ Bill boards</t>
  </si>
  <si>
    <t>Average wage level</t>
  </si>
  <si>
    <t>Per capita urban road area</t>
  </si>
  <si>
    <t>Soil</t>
  </si>
  <si>
    <t>Soil salinity</t>
  </si>
  <si>
    <t>Safety; Accessibility</t>
  </si>
  <si>
    <t>Difficulty of movement</t>
  </si>
  <si>
    <t>Bollards</t>
  </si>
  <si>
    <t>Continuity/ No of Kerb cuts</t>
  </si>
  <si>
    <t>Effective walkway width</t>
  </si>
  <si>
    <t>Guard rails/ Lateral Separation from vehicle traffic</t>
  </si>
  <si>
    <t>Guide blocks/ Weigh blocks/ Warning Blocks</t>
  </si>
  <si>
    <t>Lighting/clear visibility</t>
  </si>
  <si>
    <t xml:space="preserve">Quantity  </t>
  </si>
  <si>
    <t>No. of Traffic lanes/ Crossing distance</t>
  </si>
  <si>
    <t>Obstruction (due to electric poles, Garbage bins,  trees, informal commercial activities, illegal vendors, presence of manholes and service covers, sign posts, infrigement by shops, on-street parking)</t>
  </si>
  <si>
    <t>Ped access points</t>
  </si>
  <si>
    <t>Pedestrian delay at intersection</t>
  </si>
  <si>
    <t>Pedestrian Network</t>
  </si>
  <si>
    <t>Pedestrian travel speed</t>
  </si>
  <si>
    <t>Refuge Islands/ Median</t>
  </si>
  <si>
    <t>Speed Humps</t>
  </si>
  <si>
    <t>Nueva clasificación</t>
  </si>
  <si>
    <t>Surface Condition</t>
  </si>
  <si>
    <t>Tactile paving at ingress and egress of a footpath or median refuge</t>
  </si>
  <si>
    <t>Traffic Control Devices/ Signals</t>
  </si>
  <si>
    <t>Wayfinding/ Signage</t>
  </si>
  <si>
    <t>Nearby proviison of Community facilities</t>
  </si>
  <si>
    <t>Temperature</t>
  </si>
  <si>
    <t>The difference between the average temperature in July and the optimal temperature for human body</t>
  </si>
  <si>
    <t>Humidity</t>
  </si>
  <si>
    <t>The difference between the relative humidity in July and the optimum humidity for human body</t>
  </si>
  <si>
    <t>Average temperature in sunshine</t>
  </si>
  <si>
    <t>Will this be surface temperature or street level temperature?</t>
  </si>
  <si>
    <t>Hours of sunshine in January</t>
  </si>
  <si>
    <t>Windy</t>
  </si>
  <si>
    <t>Blue Infrastructure</t>
  </si>
  <si>
    <t>Cross falls for drainage</t>
  </si>
  <si>
    <t>Climate Risks</t>
  </si>
  <si>
    <t>Climatic comfort: Residents’ evaluation of climate comfort: 1–5</t>
  </si>
  <si>
    <t>Hydrology</t>
  </si>
  <si>
    <t>Direction/Insolation (Number of floor on South/Floor)</t>
  </si>
  <si>
    <t>Transport Routes</t>
  </si>
  <si>
    <t>Bus (Number of lines)</t>
  </si>
  <si>
    <t>Number of buses per 10,000 people</t>
  </si>
  <si>
    <t>Duration of waiting time</t>
  </si>
  <si>
    <t>Modes used</t>
  </si>
  <si>
    <t>Transport Stops</t>
  </si>
  <si>
    <t>Bus stops</t>
  </si>
  <si>
    <t>Per capita urban road area; Urban public service capacity</t>
  </si>
  <si>
    <t>Transportation network</t>
  </si>
  <si>
    <t>too broad</t>
  </si>
  <si>
    <t>Bus Stops per 1000 persons</t>
  </si>
  <si>
    <t>Distance to bus stands/stops</t>
  </si>
  <si>
    <t>Distance to bus terminal</t>
  </si>
  <si>
    <t>Distance to metro</t>
  </si>
  <si>
    <t>Distance to railway stations</t>
  </si>
  <si>
    <t>Distance to train station</t>
  </si>
  <si>
    <t>Railway Stations per 1000 persons</t>
  </si>
  <si>
    <t>Availability of public transport</t>
  </si>
  <si>
    <t>Average distance to the public transport station</t>
  </si>
  <si>
    <t>Proximity to Public Transport</t>
  </si>
  <si>
    <t xml:space="preserve">Number of buses per ten thousand person at year end </t>
  </si>
  <si>
    <t>Access to transportation (minutes)</t>
  </si>
  <si>
    <t>Accessibility (Transit)</t>
  </si>
  <si>
    <t>Percentage of residents living 800 metres distance of any public transport</t>
  </si>
  <si>
    <t>no estoy segura de que este bien clasificado</t>
  </si>
  <si>
    <t>Number of taxis at year end</t>
  </si>
  <si>
    <t>Need to revisit</t>
  </si>
  <si>
    <t>Rail System (Distance (m))</t>
  </si>
  <si>
    <t>Reliability of utilities (electricity, water, gas)</t>
  </si>
  <si>
    <t>Transport Stops; Transport Routes</t>
  </si>
  <si>
    <t>Presence; Accesibility</t>
  </si>
  <si>
    <t>Public transportation access and coverage; Infrastructure and Accessibility</t>
  </si>
  <si>
    <t>Per capita household  electricity consumption</t>
  </si>
  <si>
    <t>Vegetation</t>
  </si>
  <si>
    <t>Afforestation coverage in the city: Residents’ evaluation of urban green coverage rate: 1–5</t>
  </si>
  <si>
    <t>Vegetation percent</t>
  </si>
  <si>
    <t>Vegetation Percent (mean)</t>
  </si>
  <si>
    <t>Vegetation; LUT</t>
  </si>
  <si>
    <t>Shading/ Tree Canopy</t>
  </si>
  <si>
    <t>Green coverage in  constructed areas; Current situation of  urban  environment</t>
  </si>
  <si>
    <t>Per capita green area; Current situation of  urban  environment</t>
  </si>
  <si>
    <t xml:space="preserve">Annual mean Enhanced Vegetation Index </t>
  </si>
  <si>
    <t>Green coverage in built-up  areas</t>
  </si>
  <si>
    <t>Green coverage rate of established area</t>
  </si>
  <si>
    <t>Per capita green area</t>
  </si>
  <si>
    <t>Percentage of Green Space</t>
  </si>
  <si>
    <t>SN7 Vegetation and fencing</t>
  </si>
  <si>
    <t>Distance to vegetation</t>
  </si>
  <si>
    <t>Green space per capita</t>
  </si>
  <si>
    <t>Presence; Density</t>
  </si>
  <si>
    <t>Greenness (R)</t>
  </si>
  <si>
    <t>NDVI</t>
  </si>
  <si>
    <t>Annual mean Normalised Difference Vegetation Index</t>
  </si>
  <si>
    <t>Diversity; Density</t>
  </si>
  <si>
    <t>Greenness (R)*Mixed landuse (R)</t>
  </si>
  <si>
    <t>Second, for each sampling point, 
four street view images from different angles of the compass (from 0 to 
270 degrees) are extracted to construct 360 degree panoramas. Across 
the whole city, a total of 125,324 street view images are archived. Third, 
machine learning is integrated into semantic image segmentation technique to extract green pixels from the street view images using the scene 
parsing method (Helbich et al., 2019). The model training is executed 
via an annotated images dataset (Zhou et al., 2019). Lastly, SVG levels 
are computed as the proportion of pixels indicating greenspace in street 
view images at each sample point. Fig. 1 provides the SVG spatial distribution in the study area.</t>
  </si>
  <si>
    <t>Landscape elements  are appealing</t>
  </si>
  <si>
    <t>Resident satisfaction with urban streetscape and landscape design; Urban Design</t>
  </si>
  <si>
    <t>OS8 Presence of trees and natural elements; Integrated open space</t>
  </si>
  <si>
    <t>Urban greening rate in the city</t>
  </si>
  <si>
    <t>Walkability</t>
  </si>
  <si>
    <t>Avg Building to Building Gap</t>
  </si>
  <si>
    <t>Tree coverage</t>
  </si>
  <si>
    <t>Vegetation coverage</t>
  </si>
  <si>
    <t>Vegetation mix</t>
  </si>
  <si>
    <t>Variety vegetation</t>
  </si>
  <si>
    <t>Vegetation Percent (standard deviation)</t>
  </si>
  <si>
    <t>OS24 Porosity: area of voids in a neighbourhood; Integrated open space</t>
  </si>
  <si>
    <t>Well-maintained streets</t>
  </si>
  <si>
    <t>Spatial congestion / overcrowding</t>
  </si>
  <si>
    <t>SN8 Promoting movement: walking and cycling in side alleys</t>
  </si>
  <si>
    <t>[Space syntax analysis', 'Field observation']</t>
  </si>
  <si>
    <t>Hawker/stall</t>
  </si>
  <si>
    <t>Permitted sidewalk hawker/stall locations</t>
  </si>
  <si>
    <t>Street connectivity</t>
  </si>
  <si>
    <t>Presence of roads and  paths that take people  where they want to go</t>
  </si>
  <si>
    <t>SN11 Interconnected streets pedestrian and cyclist networks</t>
  </si>
  <si>
    <t>['Design Analysis',  'Field observation', 'Airflow simulations', 'Daylight simulations']</t>
  </si>
  <si>
    <t>Average distance to the nearest open space and street corners</t>
  </si>
  <si>
    <t>Diversity; Quality</t>
  </si>
  <si>
    <t>Architectural diversity and design quality</t>
  </si>
  <si>
    <t>Urban morphology</t>
  </si>
  <si>
    <t>Residential land; LUT</t>
  </si>
  <si>
    <t>Household density in a dwelling unit</t>
  </si>
  <si>
    <t>16; 27;</t>
  </si>
  <si>
    <t xml:space="preserve">16: ['Exploratory Factor Analysis', 'Standard Deviational Ellipse,', 'Hot Spot Analysis,', 'Network Analysis']
27: indicating the number of housing units per acre </t>
  </si>
  <si>
    <t>Commerce (Distance (m))</t>
  </si>
  <si>
    <t>Activity centres</t>
  </si>
  <si>
    <t>Proximity to essential amenities (e.g., grocery stores, healthcare); Infrastructure and Accessibility</t>
  </si>
  <si>
    <t>This indicator has multiple amenities from different domains</t>
  </si>
  <si>
    <t>Distance to CBD</t>
  </si>
  <si>
    <t>Central Business District (CBD)</t>
  </si>
  <si>
    <t>Proximity to school zone</t>
  </si>
  <si>
    <t>Access to Shops and Retail</t>
  </si>
  <si>
    <t>Per capita GDP</t>
  </si>
  <si>
    <t>Colleges per 1000 persons</t>
  </si>
  <si>
    <t>Distance to colleges</t>
  </si>
  <si>
    <t>Need to evaluate what is measuring</t>
  </si>
  <si>
    <t>Typologic Diversity (Number of rooms)</t>
  </si>
  <si>
    <t>Distance to primary school</t>
  </si>
  <si>
    <t>Number of primary schools</t>
  </si>
  <si>
    <t>Employment opportunities</t>
  </si>
  <si>
    <t>Distance to schools</t>
  </si>
  <si>
    <t>Number of general higher education schools per 10,000 population</t>
  </si>
  <si>
    <t>Number of schools</t>
  </si>
  <si>
    <t>Schools per 1000 persons</t>
  </si>
  <si>
    <t>Access to high-quality schools and educational institutions; Infrastructure and Accessibility</t>
  </si>
  <si>
    <t>22: ['N/A']
27: ['N/A']</t>
  </si>
  <si>
    <t>Number of Universities and schools</t>
  </si>
  <si>
    <t>8; 16</t>
  </si>
  <si>
    <t>8: ['Hierarchical Modelling using Analytic Hierarchy Process (AHP)']
16: ['Exploratory Factor Analysis', 'Standard Deviational Ellipse,', 'Hot Spot Analysis,', 'Network Analysis']</t>
  </si>
  <si>
    <t>Distance to secondary school</t>
  </si>
  <si>
    <t>Education (Distance (m))</t>
  </si>
  <si>
    <t>Number of institutions of higher learning</t>
  </si>
  <si>
    <t>Number of higher education teachers per  10,000 people; Urban public service capacity</t>
  </si>
  <si>
    <t>Distance to universities</t>
  </si>
  <si>
    <t>Universities per 1000 persons</t>
  </si>
  <si>
    <t>Jobs</t>
  </si>
  <si>
    <t>Local employment</t>
  </si>
  <si>
    <t>Bakery</t>
  </si>
  <si>
    <t>Number of bakery</t>
  </si>
  <si>
    <t>Number of  market</t>
  </si>
  <si>
    <t>Number of restaurant</t>
  </si>
  <si>
    <t>Supermarket</t>
  </si>
  <si>
    <t>Number of supermarkets</t>
  </si>
  <si>
    <t>Percentage of residents living 800 metres distance of a supermarket</t>
  </si>
  <si>
    <t>Number of hawkers/stalls</t>
  </si>
  <si>
    <t>Region specific</t>
  </si>
  <si>
    <t>Which category could be the ideal?</t>
  </si>
  <si>
    <t>Number of restaurants</t>
  </si>
  <si>
    <t>2: Good condition houses
27: Housing quality and maintenance standards</t>
  </si>
  <si>
    <t>Accessibility of housing units for people with disabilities</t>
  </si>
  <si>
    <t>Provision and proximity to schools</t>
  </si>
  <si>
    <t>Population density</t>
  </si>
  <si>
    <t>3; 8; 19; 27</t>
  </si>
  <si>
    <t>3: ['Entropy TOPSIS model', 'Tobit model']
8: ['Hierarchical Modelling using Analytic Hierarchy Process (AHP)']
19: ['machine learning is integrated into semantic image segmentation technique to extract green pixels from the street view images using the scene  parsing method; SVG', 'entropy index  (relative percentage of various land-use types)']
27: [GIS mapping]</t>
  </si>
  <si>
    <t>Number of worn texture blocks</t>
  </si>
  <si>
    <t>Living space: Respondents’ housing area(m3 )</t>
  </si>
  <si>
    <t>que es living space???</t>
  </si>
  <si>
    <t>Distance to Central Business District</t>
  </si>
  <si>
    <t>Economic development?</t>
  </si>
  <si>
    <t>City center</t>
  </si>
  <si>
    <t>Distance to city center</t>
  </si>
  <si>
    <t>BF-8 Community design: configuration of neighbourhood centre</t>
  </si>
  <si>
    <t>Presence; Quantity; Proximity</t>
  </si>
  <si>
    <t>Vehicular traffic intensity</t>
  </si>
  <si>
    <t>Connectivity</t>
  </si>
  <si>
    <t>Centrality (Proximity to the center (km))</t>
  </si>
  <si>
    <t>Proximity; Accesibility</t>
  </si>
  <si>
    <t>Continuity</t>
  </si>
  <si>
    <t>No. of traffic lanes/ crossing distance</t>
  </si>
  <si>
    <t>Design (Urban Form)</t>
  </si>
  <si>
    <t>Major road</t>
  </si>
  <si>
    <t>Distance to major road</t>
  </si>
  <si>
    <t>Major road intersection</t>
  </si>
  <si>
    <t>Distance to major road intersection</t>
  </si>
  <si>
    <t>Good connection  between the space and  its surroundings</t>
  </si>
  <si>
    <t xml:space="preserve">Duda   </t>
  </si>
  <si>
    <t>Accesibility; Proximity</t>
  </si>
  <si>
    <t>OS14 Easy way-finding in the neighbourhood spaces; Integrated open space</t>
  </si>
  <si>
    <t>[ 'Field observation', 'Questionnaire']</t>
  </si>
  <si>
    <t>Road Density</t>
  </si>
  <si>
    <t>Scale-Ratio</t>
  </si>
  <si>
    <t>Slope</t>
  </si>
  <si>
    <t>SN12 Connection to surrounding neighbourhoods and activity centres</t>
  </si>
  <si>
    <t>SN3 Well connected pedestrian network</t>
  </si>
  <si>
    <t>Waste Management</t>
  </si>
  <si>
    <t>Sewerage</t>
  </si>
  <si>
    <t>Industrial wastewater discharge</t>
  </si>
  <si>
    <t>Comprehensive utilization rate of industrial object waste</t>
  </si>
  <si>
    <t>Proximity to Hazardous - occupation</t>
  </si>
  <si>
    <t>General industrial solid  waste comprehensive  utilization rate; Resource consumption and utilization</t>
  </si>
  <si>
    <t>Harmless disposal rate of domestic waste</t>
  </si>
  <si>
    <t>Resident perceptions of urban cleanliness; Urban Design</t>
  </si>
  <si>
    <t>Street cleanliness</t>
  </si>
  <si>
    <t>Waste management</t>
  </si>
  <si>
    <t>Annual hazardous waste (kg)</t>
  </si>
  <si>
    <t>Annual recyclable waste (tonnes)</t>
  </si>
  <si>
    <t>Annual solid waste (tonnes)</t>
  </si>
  <si>
    <t>Per capita industrial wastewater discharge</t>
  </si>
  <si>
    <t>Percentage hazardous waste</t>
  </si>
  <si>
    <t>Percentage recyclable waste (tonnes)</t>
  </si>
  <si>
    <t>Water</t>
  </si>
  <si>
    <t>Water supply per capita</t>
  </si>
  <si>
    <t>Blue space</t>
  </si>
  <si>
    <t>Distance to river</t>
  </si>
  <si>
    <t>Distance to waterbody</t>
  </si>
  <si>
    <t>OS9 Presence of water features; Integrated open space</t>
  </si>
  <si>
    <t>Percentage of Blue Space</t>
  </si>
  <si>
    <t>Canal water storage sample locations</t>
  </si>
  <si>
    <t>Water fountains/ sculptures/statues are  attractive</t>
  </si>
  <si>
    <t>Subjetivo</t>
  </si>
  <si>
    <t>Coverage percentage of urban areas served by stormwater drainage systems; Urban Design</t>
  </si>
  <si>
    <t>Availability of water areas</t>
  </si>
  <si>
    <t>['Based on Landsat OLI_TIRS multispectral data, thenormalized differential water index (MNDWI) was calculated, where: MNDWI = G -  MIR/G + MIR where MIR is the reflectance value of the infrared band in Landsat andGis the reflectance value of the infrared band. Single-factor scores wereevaluated in combination with the effects of water bodies on thelivability of urban environments within a certain radiation distance.When the radiation range of water bodies was &lt; 200 m, the areas surroundingwater bodies (e.g., wetlands and parks) were the most livable,reaching scores of 100. Water bodies could influence the livability of theurban environment within 200–500 m, where AWR was evaluated ashaving a score of 90. Areas 500–1000 m away from water bodies mightbe influenced by other buildings, where AWR had a score of 80. Areas1000–1500 m away from water bodies require travel by foot, bike orother means, and their AWR score was 60. Since water resources areextremely important to arid cities, the lowest limit was determined as60. That means the lowest level of the livability in this area is theGenerally livable when only water resources are considered.']</t>
  </si>
  <si>
    <t>Landsat OLI_TIRS multispectral data</t>
  </si>
  <si>
    <t>Per capita water resources</t>
  </si>
  <si>
    <t>Water consumption per unit of GDP; Resource consumption and utilization</t>
  </si>
  <si>
    <t>Water quality</t>
  </si>
  <si>
    <t>Quality water supply</t>
  </si>
  <si>
    <t>Average days of rain (main road flood areas)</t>
  </si>
  <si>
    <t>Sanitary conditions</t>
  </si>
  <si>
    <t>Canal water storage biochemical oxygen demand &lt; 6 mg/L</t>
  </si>
  <si>
    <t>Canal water storage: average biochemical oxygen demand (mg/L)</t>
  </si>
  <si>
    <t>F</t>
  </si>
  <si>
    <t>Canal water storage: average dissolved oxygen (mg/L)</t>
  </si>
  <si>
    <t xml:space="preserve">Centralized treatment rate of  sewage treatment </t>
  </si>
  <si>
    <t>podria entrar en esta categoria?</t>
  </si>
  <si>
    <t>Drinking water quality</t>
  </si>
  <si>
    <t>18; 22</t>
  </si>
  <si>
    <t>18: ['Analytic Hierarchy Process (AHP)']
22: ['N/A']</t>
  </si>
  <si>
    <t>Investment booming</t>
  </si>
  <si>
    <t>#</t>
  </si>
  <si>
    <t>Unique ID</t>
  </si>
  <si>
    <t>Affordable housing is essential for liveability and health as high housing costs limit resources for other social determinants of health like food and healthcare.</t>
  </si>
  <si>
    <t>Saitluanga, 2014, 'Spatial pattern of urban livability in Himalayan region: a case of Aizawl City'; Porio, 2015, 'Sustainable development goals and quality of life targets: insights from metro Manila'</t>
  </si>
  <si>
    <t>Association reported; no effect size provided.</t>
  </si>
  <si>
    <t>27: ['median housing cost relative to income']
22: ['Percentage of land being used for informal housing']</t>
  </si>
  <si>
    <t>"con la ENIGH se puede calcular gasto de alquiler entre ingresos" https://www.inegi.org.mx/programas/enigh/nc/2024/
"Encuesta Nacional de Vivienda (ENVI) 2020" https://www.inegi.org.mx/programas/envi/2020/
" Tipología de vivienda (2024)" from the Actualizaciones del territorio maps https://www.mexicali.gob.mx/sitioimip/geovisor</t>
  </si>
  <si>
    <t>ER: Data will only be available at the city-level from the "Encuesta Nacional de Vivienda (ENVI) 2020" https://www.inegi.org.mx/programas/envi/2020/ We could also use the categories from the " Tipología de vivienda (2024)" from the Actualizaciones del territorio maps https://www.mexicali.gob.mx/sitioimip/geovisor</t>
  </si>
  <si>
    <t>High housing and land prices are linked to reduced affordability and financial stress, which can negatively impact residents' overall quality of life and residential stability.</t>
  </si>
  <si>
    <t>Liu et al., 2020, 'Using multi-source data to assess livability in Hong Kong at the community-based level: A combined subjective-objective approach'</t>
  </si>
  <si>
    <t xml:space="preserve">ER: Juan, el catastro tiene costo del lote y vivienda?
https://tecmx.sharepoint.com/:f:/s/Mexicali-SIUM/IgCo34MzoO2pQ6n_8_fN7n7yAXbMN8SNG9AALvIBr0s7taI?e=R4YpGb
https://tecmx.sharepoint.com/:f:/s/Mexicali-SIUM/IgCIU9bPtEF1RI3-GeohnPsyAV8qQj9UYPAZZ3rpy6S1RZE?e=mcIQXk
</t>
  </si>
  <si>
    <t>Better air quality prioritizes physical health and promotes overall well-being by reducing exposure to harmful atmospheric pollutants.</t>
  </si>
  <si>
    <t>Wang et al., 2011, 'A Comparative Study of Beijing and Three Global Cities: A Perspective on Urban Livability'; Mahmud et al., 2020, 'Assessment of Groundwater Quality in Khulna City of Bangladesh in Terms of Water Quality Index for Drinking Purpose'</t>
  </si>
  <si>
    <t>Official Air Quality monitoring system: https://www.mexicali.gob.mx/portalmexicali/calidad-aire/indices?id=1</t>
  </si>
  <si>
    <t>ER: Too broad (should be defined by particles)?</t>
  </si>
  <si>
    <t>Suitable air quality is a fundamental environmental requirement for reducing risks of respiratory and cardiovascular diseases in urban populations.</t>
  </si>
  <si>
    <t>Yang et al., 2021, 'Spatiotemporal trends and driving factors of urban livability in the Yangtze River Delta Agglomeration'; Zhu et al., 2021, 'Enhancing and promoting national environmental goals through local integrated coastal management initiatives and legislation'</t>
  </si>
  <si>
    <t>Nitrogen dioxide is identified as a major urban problem impacting health and wellbeing, with high concentrations linked to respiratory and cardiovascular issues.</t>
  </si>
  <si>
    <t>Lowe et al., 2015, 'Planning healthy, liveable and sustainable cities: how can indicators inform policy?'; Badland et al., 2014, 'Urban liveability: emerging lessons from Australia for exploring the potential for indicators to measure the social determinants of health'</t>
  </si>
  <si>
    <t>Monitoring PM2.5 levels relative to international WHO standards ensures that the city is tracking environmental risks that impact population cardiovascular and respiratory health.</t>
  </si>
  <si>
    <t>Official Air Quality monitoring system: https://www.mexicali.gob.mx/portalmexicali/calidad-aire/indices?id=1 Review historial data from this source</t>
  </si>
  <si>
    <t>Lower levels of sulfur dioxide emissions signify reduced industrial pollution and progress toward carbon reduction, which are necessary for a sustainable living environment.</t>
  </si>
  <si>
    <t>Estoque et al., 2019, 'A review of quality of life (QOL) assessments and indicators: Towards a "QOL-Climate" assessment framework'; Liang et al., 2020, 'Assessment of the impact of climate change on cities livability in China'</t>
  </si>
  <si>
    <t>Liveability score: weighted indicator, no individual effect size reported</t>
  </si>
  <si>
    <t>ER: Review if there is available data from SEMARNAT for: Bióxido de azufre (SO2) "We could potentially use data from: Registro de Emisiones y Transferencias de Contaminantes (RETC)
2004-2024 (https://sinat.semarnat.gob.mx:8443/retc/retc/index.php) or Taking Stock on industry (https://takingstock.cec.org/Map?IndustryLevel=4&amp;Measure=3&amp;MediaTypes=2&amp;ReportType=1&amp;ResultType=1&amp;Years=2023)"</t>
  </si>
  <si>
    <t>The frequency of days with high-quality air is a fundamental indicator of urban environmental health and atmospheric safety for residents.</t>
  </si>
  <si>
    <t>Zhan et al., 2018, 'Assessment and determinants of satisfaction with urban livability in China'; Cao et al., 2019, 'The framework of relationship between built environment and residents healthy based on activity perspective'</t>
  </si>
  <si>
    <t>No health outcome assessed.</t>
  </si>
  <si>
    <t>Building morphology and arrangement are critical for housing quality and social interaction, supporting healthy environments through improved urban ventilation.</t>
  </si>
  <si>
    <t>Chan &amp; Liu, 2018, 'Effects of neighborhood building density, height, greenspace, and cleanliness on indoor environment and health'; Ramponi &amp; Blocken, 2012, 'A computational study on the influence of urban morphology on wind-induced outdoor ventilation'; Yuan &amp; Ng, 2012, 'Building porosity for better urban ventilation'</t>
  </si>
  <si>
    <t xml:space="preserve">I am not sure we can obtain data for this </t>
  </si>
  <si>
    <t>Urban Design</t>
  </si>
  <si>
    <t>Streetscape</t>
  </si>
  <si>
    <t>Variation in building heights within a neighbourhood improves natural ventilation and passive pollutant dispersion while supporting residential privacy and safety.</t>
  </si>
  <si>
    <t>Ng, 2010, 'Designing high density cities for social &amp; environmental sustainability'; An et al., 2019, 'Exploration of sustainable building morphologies for effective passive pollutant dispersion'</t>
  </si>
  <si>
    <t>ER: Can we calculate this with OpenBuildings?</t>
  </si>
  <si>
    <t>Multi-purpose community centres provide important opportunities for social interaction and community connection, which are vital for mental and social wellbeing.</t>
  </si>
  <si>
    <t>Saitluanga, 2014, 'Spatial pattern of urban livability in Himalayan region: a case of Aizawl City'</t>
  </si>
  <si>
    <t>['Percentage of residents living &lt; 400 m
of community centre']</t>
  </si>
  <si>
    <t>OSM/ DENUE/IMIP</t>
  </si>
  <si>
    <t>Access to youth centres provides essential social infrastructure that supports social cohesion, mental health, and community wellbeing for young residents.</t>
  </si>
  <si>
    <t>Lowe et al., 2015, 'Planning healthy, liveable and sustainable cities: how can indicators inform policy?'</t>
  </si>
  <si>
    <t>Access to telecommunication infrastructure and mobile network coverage is identified as a vital public service and a major interest for resident liveability.</t>
  </si>
  <si>
    <t>Atkisson &amp; Hatcher, 2001, 'The compass index of sustainability'; Valentin &amp; Spangenberg, 2000, 'A guide to community sustainability indicators'</t>
  </si>
  <si>
    <t>The presence of local bakeries and food services contributes to the convenience of urban life and supports the everyday functional needs of residents.</t>
  </si>
  <si>
    <t>Ghasemi, 2024, 'Enhancing urban livability: Analyzing Tehran through equitable land use distribution'</t>
  </si>
  <si>
    <t>CH: Probably should be grouped with other convenience destinations/ ER: Agreed, but particulary with those food-related, maybe part of a food environment comoposite index?</t>
  </si>
  <si>
    <t>Local markets provide residents with access to fresh food and opportunities for economic activity and social interaction within their neighborhoods.</t>
  </si>
  <si>
    <t>Ghasemi, 2024, 'Enhancing urban livability: Analyzing Tehran through equitable land use distribution'; Yang et al., 2021, 'Spatiotemporal trends and driving factors of urban livability in the Yangtze River Delta Agglomeration'</t>
  </si>
  <si>
    <t>ER: This one can be part of a composite sub-index</t>
  </si>
  <si>
    <t>The availability of minimarts is an indicator of local food access, supporting the convenient provision of daily necessities that shape urban life quality.</t>
  </si>
  <si>
    <t>Lowe et al., 2015, 'Planning healthy, liveable and sustainable cities: how can indicators inform policy?'; Alderton et al., 2019, 'What is the meaning of urban liveability for a city in a low-to-middle-income country? Contextualising liveability for Bangkok, Thailand'</t>
  </si>
  <si>
    <t>Living at a sufficient distance from gas stations improves residents' safety by reducing the risks of fire incidents and accidents associated with hazardous fuel locations.</t>
  </si>
  <si>
    <t>Basu et al., 2021, 'Urban Livability Index Assessment Based on Land-Use Changes in an Indian Medium-Sized City (Raiganj)'</t>
  </si>
  <si>
    <t>OSM/ DENUE/IMIP (abasto layer) https://www.mexicali.gob.mx/sitioimip/geovisor/geovisor/?url=act-terr&amp;access_token=</t>
  </si>
  <si>
    <t>Restaurants contribute to the recreational diversity of urban districts, offering spaces for socialization and enhancing the vibrancy of the neighborhood.</t>
  </si>
  <si>
    <t>Ghasemi, 2024, 'Enhancing urban livability: Analyzing Tehran through equitable land use distribution'; Kang et al., 2022, 'Can tourism development make cities more livable? Investigating 40 cities in China'</t>
  </si>
  <si>
    <t>OSM/ DENUE</t>
  </si>
  <si>
    <t>The availability of supermarkets is a indicator of the formal food environment that influences residents' ability to access varied and nutritional food options.</t>
  </si>
  <si>
    <t>Worth measuring access to supermarkets in a number of different ways (distance, count, within threshold) as required</t>
  </si>
  <si>
    <t>ER: Review the composite hierarchy number</t>
  </si>
  <si>
    <t>Personal safety and the reduction of urban risk through protective infrastructure are identified as fundamental requirements for city liveability and resident well-being.</t>
  </si>
  <si>
    <t>Mercer, 2017, 'Quality of Living Survey'; Economist Intelligence Unit (EIU), 2012, 'Quality of Life Index'</t>
  </si>
  <si>
    <t>Easy access to cultural facilities like libraries is a key component of urban convenience, allowing residents to satisfy their fundamental information and educational requirements.</t>
  </si>
  <si>
    <t>Onnom et al., 2018, 'Development of a Liveable City Index (LCI) Using Multi Criteria Geospatial Modelling for Medium Class Cities in Developing Countries'; Liu et al., 2020, 'Using Multi-Source Data to Assess Livability in Hong Kong at the Community-Based Level: A Combined Subjective-Objective Approach'</t>
  </si>
  <si>
    <t>Access to religious centres contributes to the amenity value of urban areas, providing social and cultural comfort that enhances human wellbeing.</t>
  </si>
  <si>
    <t>Rehdanz and Maddison, 2008, 'Local environmental quality and life-satisfaction in Germany'</t>
  </si>
  <si>
    <t>Cultural centers serve as important hubs for social and cultural activities that enhance community identity and promote the psychological well-being of residents.</t>
  </si>
  <si>
    <t>Kang et al., 2022, 'Can tourism development make cities more livable? Investigating 40 cities in China'</t>
  </si>
  <si>
    <t>ER: This can be part of a "City amenities" composite index</t>
  </si>
  <si>
    <t>Museums provide important cultural infrastructure that supports social development, lifelong learning, and community social cohesion.</t>
  </si>
  <si>
    <t>Dedicated cycling infrastructure encourages sustainable, eco-friendly transportation and promotes physical health through regular active mobility.</t>
  </si>
  <si>
    <t>Mekuria et al., 2017, 'Improving Liveability Using Green and Active Modes'; Stehlin, 2014, 'Regulating inclusion: Spatial form, social process, and the normalization of cycling practice in the USA'; Ruggeri, 2013, 'From Transit Stop to Urbanity Node'; Whitney et al., 2020, 'Livable streets and global competitiveness: A survey of Mexico City'</t>
  </si>
  <si>
    <t>Compliance rate: 85.7% of evaluated liveability indices in the studied communities were related to public transport and green space availability.</t>
  </si>
  <si>
    <t>IMIP: https://www.mexicali.gob.mx/sitioimip/geovisor/geovisor/?url=pimus&amp;access_token=</t>
  </si>
  <si>
    <t>CH: This sounds like a suite of indicators/ ER: Agreed, we could use the cycling indicators we have generating for this</t>
  </si>
  <si>
    <t>Reynolds-Salmon et al., 2024, 'Does household size matter? Crowding and its effects on child development'</t>
  </si>
  <si>
    <t xml:space="preserve">INEGI Census </t>
  </si>
  <si>
    <t>Appropriate household density within dwelling units is key to preventing the negative social and health consequences of urban overcrowding.</t>
  </si>
  <si>
    <t>Excessive population density in fragile environments increases resource consumption and environmental stress, which can degrade the long-term liveability of a city.</t>
  </si>
  <si>
    <t>Chen et al., 2020, 'Response of resources and environment carrying capacity under the evolution of land use structure in Chongqing Section of the Three Gorges Reservoir Area'; Dong et al., 2021, 'The coupling coordinated relationship between new-type urbanization, eco-environment and its driving Mechanism: A case of Guanzhong, China'</t>
  </si>
  <si>
    <t>Urban liveability: β = -0.041 (p &lt; 0.01), inverse association</t>
  </si>
  <si>
    <t>* Indicator categoy Demographics &amp; subdomain city</t>
  </si>
  <si>
    <t>Employment centers</t>
  </si>
  <si>
    <t>Local employment opportunities allow residents to live and work within the same district, improving work-life balance and reducing the health burdens of long commutes.</t>
  </si>
  <si>
    <t>['Percentage of residents living and working in the same district']</t>
  </si>
  <si>
    <t>Pues sí uno tiene El valor de fuerza laboral sería mejor con ese y El cociente sobre los que pueden trabajar</t>
  </si>
  <si>
    <t>Ambient Environment; Safety</t>
  </si>
  <si>
    <t>Fire safety, measured by the occurrence rate in the population, is a critical component of urban security, essential for protecting lives and property.</t>
  </si>
  <si>
    <t>Arpan &amp; Joy, 2018, 'Livability assessment within a metropolis based on the impact of integrated urban geographic factors (IUGFs) on clustering urban centers of Kolkata'; Zhan et al., 2018, 'Assessment and determinants of satisfaction with urban livability in China'</t>
  </si>
  <si>
    <t xml:space="preserve">ER: In Mexicali the Risk Atlas states that the most relevant fires are those related to industry, however, there is no data available for these. </t>
  </si>
  <si>
    <t>Mitigating the exposure and impact of urban flooding is essential for maintaining residents' health and safety, particularly for those in informal and vulnerable housing.</t>
  </si>
  <si>
    <t>No external citations provided for this indicator.</t>
  </si>
  <si>
    <t>The number of flood-prone locations on main roads is an indicator of infrastructure vulnerability that directly affects environmental safety and health risk management.</t>
  </si>
  <si>
    <t>Parise, 2018, 'A brief review of global climate change and the public health consequences'</t>
  </si>
  <si>
    <t>The duration of flooding in main road areas contributes to environmental risks and disruption of essential services, which can impact public health and safety.</t>
  </si>
  <si>
    <t>Proximity to healthcare facilities is essential for maintaining urban life quality and ensures residents have timely access to medical services.</t>
  </si>
  <si>
    <t>McMichael, 2000, 'The urban environment and health in a world of increasing globalisation: issues for developing countries'</t>
  </si>
  <si>
    <t>I would make this distance to General Practitioner / local health centre</t>
  </si>
  <si>
    <t>The physical availability and accessibility of healthcare facilities, such as hospitals, are essential determinants of health within the urban liveability framework.</t>
  </si>
  <si>
    <t>I would make this distance to hospital (as distinct from distance to GP)</t>
  </si>
  <si>
    <t>Access to medical stores is identified by residents as a fundamental amenity for liveability, ensuring the availability of healthcare commodities across the city.</t>
  </si>
  <si>
    <t>Chi et al., 2021, 'From Comparative and Statistical Assessments of Liveability and Health Conditions of Districts in Hong Kong towards Future City Development'; Suptelo &amp; Sehida, 2020, 'Factors of Post-Industrial Transformations of Urban Sociogeosystems (Case Kharkiv)'</t>
  </si>
  <si>
    <t>Amenity accessibility: association reported; no individual effect size provided.</t>
  </si>
  <si>
    <t>Mitigating the urban heat island effect by reducing localized temperature increases promotes thermal comfort and supports the physical and mental well-being of city dwellers.</t>
  </si>
  <si>
    <t>Leya et al., 2022, 'Spatial Variations of Urban Heat Island Development in Khulna City, Bangladesh: Implications for Urban Planning and Development'</t>
  </si>
  <si>
    <t>ER: Key indicator</t>
  </si>
  <si>
    <t>Industry; Employment</t>
  </si>
  <si>
    <t>Manufacturing centres are sources of industrial hazards and pollution; restricting residential proximity ensures physical safety and protects wellbeing.</t>
  </si>
  <si>
    <t>Onnom et al., 2018, 'Development of a Liveable City Index (LCI) using multi criteria geospatial modelling for medium class cities in developing countries'</t>
  </si>
  <si>
    <t>DENUE</t>
  </si>
  <si>
    <t>Vegetation as a land use type is the optimal land category for human settlement, directly supporting liveability and wellbeing through ecosystem services and green space provision.</t>
  </si>
  <si>
    <t>Liveability score: scored 100/100 as the most suitable land type for settlement; Association reported; no health effect size provided.</t>
  </si>
  <si>
    <t>https://www.mexicali.gob.mx/sitioimip/geovisor/geovisor/?url=pducpmp&amp;access_token=
IMIP: usos de suelo https://tecmx.sharepoint.com/:f:/s/Mexicali-SIUM/IgCeSV3JIwQpT6TXm52Vw2gqAXN8KTu7Dex3TtPfbb754oo?e=4QOX5y</t>
  </si>
  <si>
    <t>ER: Could be used to calculate land use mix</t>
  </si>
  <si>
    <t>Land use</t>
  </si>
  <si>
    <t>Source article not available for review.</t>
  </si>
  <si>
    <t>Not reported.</t>
  </si>
  <si>
    <t>Ahmed, 2012, 'Urban social sustainability: A study of the Emirati local communities in Al Ain'</t>
  </si>
  <si>
    <t>GHSL</t>
  </si>
  <si>
    <t>Adequate residential area per capita is important for ensuring privacy, comfort, and a high standard of living within urban dwellings.</t>
  </si>
  <si>
    <t>Saeed et al., 2022, 'An integrated approach for developing an urban livability composite index—A cities’ ranking road map to achieve urban sustainability'</t>
  </si>
  <si>
    <t>Walking-friendly urban environments support safety and promote healthy lifestyles through human-oriented design.</t>
  </si>
  <si>
    <t>Skalicky &amp; Čerpes, 2019, 'Comprehensive assessment methodology for liveable residential environment'</t>
  </si>
  <si>
    <t>Adequate footpath provision is a key building block of liveable neighbourhoods, directly supporting the physical health and activity levels of residents.</t>
  </si>
  <si>
    <t>Hooper et al., 2015, 'The building blocks of a liveable neighbourhood: Identifying the key performance indicators for walking'</t>
  </si>
  <si>
    <t>ER: Only footpaths may not be feasible but we do have data for sidewalk availability</t>
  </si>
  <si>
    <t>Proper sidewalks and crosswalks are critical for safe walkability, encouraging residents to engage in health-promoting physical activities.</t>
  </si>
  <si>
    <t>Baobeid et al., 2021, 'Walkability and its relationships with health, sustainability, and liveability'; Geller, 2003, 'Smart growth: A prescription for livable cities'; Furlan, 2015, 'Liveability and Social Capital in West Bay'</t>
  </si>
  <si>
    <t>Proximity target: All essential amenities and recreational facilities in the proposed design are located within a 15-minute walk.</t>
  </si>
  <si>
    <t>Inventario Nacional de Vivienda</t>
  </si>
  <si>
    <t>Monitoring road accident locations supports the development of safer transport infrastructure to reduce injuries and fatalities from vehicular traffic.</t>
  </si>
  <si>
    <t>INEGI Accidentes de Tránsito: https://www.inegi.org.mx/programas/accidentes/#documentacion</t>
  </si>
  <si>
    <t>Traffic accident fatalities are a primary indicator of road safety; reduced mortality is a fundamental requirement for a secure and livable city environment.</t>
  </si>
  <si>
    <t>Kourtit et al., 2021, 'Safe cities in the new urban world: A comparative cluster dynamics analysis through machine learning'; Arpan &amp; Joy, 2018, 'Livability assessment within a metropolis based on the impact of integrated urban geographic factors (IUGFs) on clustering urban centers of Kolkata'</t>
  </si>
  <si>
    <t>Well-lit pedestrian networks are essential for social sustainability, creating a safe environment that encourages nighttime use of public space.</t>
  </si>
  <si>
    <t>Proportion of road segments with presence of public lightning</t>
  </si>
  <si>
    <t>The provision of sport centres is critical for promoting physical activity, which reduces the risk of chronic diseases and improves mental health outcome.</t>
  </si>
  <si>
    <t>Lowe et al., 2015, 'Planning healthy, liveable and sustainable cities: how can indicators inform policy?'; Sachs et al., 2019, 'Six transformations to achieve the sustainable development goals'</t>
  </si>
  <si>
    <t>13; 16; 20</t>
  </si>
  <si>
    <t>Green &amp; Blue Infrastructure</t>
  </si>
  <si>
    <t>OSM/ IMIP https://www.mexicali.gob.mx/sitioimip/geovisor/geovisor/?url=act-terr&amp;access_token=</t>
  </si>
  <si>
    <t>Ibem and Amole, 2013, 'Residential satisfaction in public core housing in Abeokuta, Ogun State, Nigeria'; Huang and Du, 2015, 'Assessment and determinants of residential satisfaction with public housing in Hangzhou, China'</t>
  </si>
  <si>
    <t>CH: Do you have the data to distinguish "parks" from "public green space"?</t>
  </si>
  <si>
    <t>Availability of open spaces provides urban residents with areas for comfort, enjoyment, and relaxation, directly contributing to their overall quality of life.</t>
  </si>
  <si>
    <t>Zhan et al., 2018, 'Assessment and Determinants of Satisfaction with Urban Livability in China'; Paul &amp; Sen, 2018, 'Livability Assessment within a Metropolis Based on the Impact of Integrated Urban Geographic Factors (IUGFs) on Clustering Urban Centers of Kolkata'</t>
  </si>
  <si>
    <t>ER: Do we want to have public open spaces combined with parks?</t>
  </si>
  <si>
    <t>Schools: Secondary</t>
  </si>
  <si>
    <t>Close proximity to fire stations ensures rapid emergency response times, which is essential for protecting residents from physical harm and property damage.</t>
  </si>
  <si>
    <t>Liu et al., 2020, 'Using Multi-Source Data to Assess Livability in Hong Kong at the Community-Based Level: A Combined Subjective-Objective Approach'</t>
  </si>
  <si>
    <t>IMIP: https://www.mexicali.gob.mx/sitioimip/geovisor/geovisor/?url=act-terr&amp;access_token=
INEGI: Marco Geoestadítico (SIP layer)</t>
  </si>
  <si>
    <t>Neighborhoods located near police stations experience enhanced security and stability, allowing residents to live without feeling threatened or harmed.</t>
  </si>
  <si>
    <t>Fu et al., 2019, 'The Livable Urban Landscape: GIS and Remote Sensing Extracted Land Use Assessment for Urban Livability in Changchun Proper, China'; Liu et al., 2020, 'Using Multi-Source Data to Assess Livability in Hong Kong at the Community-Based Level: A Combined Subjective-Objective Approach'; Paul &amp; Sen, 2018, 'Livability Assessment within a Metropolis Based on the Impact of Integrated Urban Geographic Factors (IUGFs) on Clustering Urban Centers of Kolkata'</t>
  </si>
  <si>
    <t>ER: Could this one be part of a composite index with distance to fire station (69)?</t>
  </si>
  <si>
    <t>Easy access to recreational facilities emphasizes the provision of spaces that offer pleasure and physical comfort, improving the overall livability of urban environments.</t>
  </si>
  <si>
    <t>Basu et al., 2021, 'Urban Livability Index Assessment Based on Land-Use Changes in an Indian Medium-Sized City (Raiganj)'; Fu et al., 2019, 'The Livable Urban Landscape: GIS and Remote Sensing Extracted Land Use Assessment for Urban Livability in Changchun Proper, China'</t>
  </si>
  <si>
    <t>Proximity to diverse transportation options ensures inclusive regional accessibility, allowing a wider demographic to benefit from recreational and social infrastructure.</t>
  </si>
  <si>
    <t>Project for Public Space, 2016, 'What Makes a Successful Place?'; CABE and DETR, 2001, 'The value of urban design'</t>
  </si>
  <si>
    <t>Visit frequency: High satisfaction with transportation proximity (mean = 4.03) is linked to the overall visit frequency correlation (rho = 0.310).</t>
  </si>
  <si>
    <t>ER: This one can be part of another composite indicator of either public transport or public open spaces</t>
  </si>
  <si>
    <t>Regulating permitted locations for sidewalk hawkers ensures local food access and livelihood security while managing urban street safety and hygiene.</t>
  </si>
  <si>
    <t>Alderton et al., 2019, 'What is the meaning of urban liveability for a city in a low-to-middle-income country? Contextualising liveability for Bangkok, Thailand'</t>
  </si>
  <si>
    <t>The difference from optimal humidity in July affects thermal comfort and respiratory wellness, with extreme humidity levels impacting residents' physical health.</t>
  </si>
  <si>
    <t>Zhan et al., 2018, 'Assessment and determinants of satisfaction with urban livability in China'; Tang et al., 2017, 'Comprehensive evaluation of trends in human settlements quality changes and spatial differentiation characteristics of 35 Chinese major cities'</t>
  </si>
  <si>
    <t>Maintaining urban temperatures within a comfortable range is vital for physical health and preventing heat-related illnesses and thermal discomfort.</t>
  </si>
  <si>
    <t>Kashi et al., 2024, 'Effects of extreme weather events and climate change on cities’ livability'; Alijani et al., 2020, 'A new approach of urban livability in Tehran: Thermal comfort as a primitive indicator'</t>
  </si>
  <si>
    <t>ER: Rossano will work on the Thermal comfort indicator</t>
  </si>
  <si>
    <t>Giles-Corti et al., 2019, 'Achieving the SDGs: evaluating indicators to be used to benchmark and monitor progress towards creating healthy and sustainable cities'</t>
  </si>
  <si>
    <t>Basu et al., 2021, 'Urban Livability Index Assessment Based on Land-Use Changes in an Indian Medium-Sized City (Raiganj)'; Onnom et al., 2018, 'Development of a Liveable City Index (LCI) Using Multi Criteria Geospatial Modelling for Medium Class Cities in Developing Countries'; Fu et al., 2019, 'The Livable Urban Landscape: GIS and Remote Sensing Extracted Land Use Assessment for Urban Livability in Changchun Proper, China'</t>
  </si>
  <si>
    <t>Appropriate humidity levels are necessary for human thermal comfort and can affect respiratory health and the perceived quality of the urban environment.</t>
  </si>
  <si>
    <t>Kashi et al., 2024, 'Effects of extreme weather events and climate change on cities’ livability'; Liang and Li, 2020, 'Resilience and sustainable development goals based social-ecological indicators and assessment of coastal urban areas'</t>
  </si>
  <si>
    <t>Average winter temperature (as January mean) is a key climate amenity that influences residents' physiological comfort and health during the cold season.</t>
  </si>
  <si>
    <t>Zhan et al., 2018, 'Assessment and determinants of satisfaction with urban livability in China'; Li et al., 2008, 'Review of the theories and methods of livable city'</t>
  </si>
  <si>
    <t>The difference from optimal temperature in July indicates thermal comfort; excessive summer heat is linked to physiological stress and reduced outdoor activity.</t>
  </si>
  <si>
    <t>Care needs to be taken: is "July" relevant for Mexicali? (e.g. better to calculate as "Hottest month" if that was intended by the authors; July is too parochial)</t>
  </si>
  <si>
    <t>Adequate sunshine duration in January supports mental wellbeing and provides natural lighting and heating, contributing to a pleasant living environment.</t>
  </si>
  <si>
    <t>Arpan &amp; Joy, 2018, 'Livability assessment within a metropolis based on the impact of integrated urban geographic factors (IUGFs) on clustering urban centers of Kolkata'; Li &amp; Jin, 2012, 'Characteristics and spatial-temporal differences of urban human settlement environment in China'</t>
  </si>
  <si>
    <t>CH: "Sunshine in January" is a very parochially phrased indicator (assumption that January is in northern hemisphere, so this is sunshine in Winter I assume; or vice versa.  But it would be better to be explicit as to which it means!) /  ER: This one is part of a "Natural Environment Pleaseantness" I think this could be usueful or it can be part of the heat risk indicators</t>
  </si>
  <si>
    <t>Buses: Stops</t>
  </si>
  <si>
    <t>Proximity to bus stops improves accessibility to city facilities and services, acting as a major engine of urban growth and resident liveability.</t>
  </si>
  <si>
    <t>Higgs et al., 2019, 'The Urban Liveability Index: developing a policy-relevant urban liveability composite measure and evaluating associations with transport mode choice'; Suptelo &amp; Sehida, 2020, 'Factors of Post-Industrial Transformations of Urban Sociogeosystems (Case Kharkiv)'</t>
  </si>
  <si>
    <t>Transportation accessibility: association reported; no individual effect size provided.</t>
  </si>
  <si>
    <t>Extensive public transit coverage ensures equitable access to city-wide opportunities and services, reducing health inequities related to mobility.</t>
  </si>
  <si>
    <t>Kashef, 2016, 'Urban liveability across disciplinary and professional boundaries'; Cervero, 2009, 'Transport infrastructure and global competitiveness'; Bassolas et al., 2019, 'Hierarchical organization of urban mobility and its connection with city liveability'; Vuchic, 2017, 'Transportation for Livable Cities'</t>
  </si>
  <si>
    <t>Sachs et al., 2019, 'Six transformations to achieve the sustainable development goals'; Lowe et al., 2015, 'Planning healthy, liveable and sustainable cities: how can indicators inform policy?'</t>
  </si>
  <si>
    <t>Vegetation coverage: Canopy</t>
  </si>
  <si>
    <t>Urban tree canopy coverage mitigates local temperatures and provides shade and aesthetic value that support mental wellbeing and encourage physical activity in public spaces.</t>
  </si>
  <si>
    <t>Appleyard, 1981, 'Livable Streets'; Basiago, 1999, 'Economic, social, and environmental sustainability in development theory and urban planning practice'</t>
  </si>
  <si>
    <t>A variety of urban vegetation supports biodiversity and ecological health, while providing aesthetic and psychological benefits that enhance the living environment.</t>
  </si>
  <si>
    <t>Khorrami et al., 2021, 'The indicators and methods used for measuring urban liveability: A scoping review'; Liu et al., 2020, 'Using multi-source data to assess livability in Hong Kong at the community-based level: A combined subjective-objective approach'</t>
  </si>
  <si>
    <t>Mean vegetation coverage across the city helps mitigate the urban heat island effect and provides psychological health benefits through exposure to nature.</t>
  </si>
  <si>
    <t>The Normalised Difference Vegetation Index (NDVI) is used to track city-wide greenness, which supports mental health and environmental sustainability.</t>
  </si>
  <si>
    <t>Zhan et al., 2018, 'Assessment and Determinants of Satisfaction with Urban Livability in China'; Tao et al., 2015, 'Housing Choices of Migrant Workers in China: Beyond the Hukou Perspective'</t>
  </si>
  <si>
    <t>Living further from major road intersections reduces the risk of traffic accidents and fire incident risks, thereby fostering a safer and more stable residential environment.</t>
  </si>
  <si>
    <t>A well-connected pedestrian network promotes a safe environment and directly supports the physical health of residents by encouraging walking.</t>
  </si>
  <si>
    <t>Areas closer to the city center offer easy access to a variety of facilities such as employment, shopping, and entertainment, making them highly livable from a convenience perspective.</t>
  </si>
  <si>
    <t>Road density is a key driver of urban expansion and accessibility to city amenities, though it must be managed to mitigate traffic congestion and resident dissatisfaction.</t>
  </si>
  <si>
    <t>Higgs et al., 2019, 'The Urban Liveability Index: developing a policy-relevant urban liveability composite measure and evaluating associations with transport mode choice'; Pradhan et al., 2021, 'Urbanization, transportation infrastructure, ICT, and economic growth: A temporal causal analysis'</t>
  </si>
  <si>
    <t>Accessibility and urban expansion: association reported; no individual effect size provided.</t>
  </si>
  <si>
    <t>INEGI: Marco Geoestadístico Nacional/ OSM</t>
  </si>
  <si>
    <t>Schools: Primary</t>
  </si>
  <si>
    <t>Close proximity to primary schools supports family-oriented livability by facilitating easy and convenient access to essential basic education for young residents.</t>
  </si>
  <si>
    <t>Onnom et al., 2018, 'Development of a Liveable City Index (LCI) Using Multi Criteria Geospatial Modelling for Medium Class Cities in Developing Countries'; Fu et al., 2019, 'The Livable Urban Landscape: GIS and Remote Sensing Extracted Land Use Assessment for Urban Livability in Changchun Proper, China'; Liu et al., 2020, 'Using Multi-Source Data to Assess Livability in Hong Kong at the Community-Based Level: A Combined Subjective-Objective Approach'</t>
  </si>
  <si>
    <t>Ensuring secondary schools are within a accessible distance enhances urban convenience and satisfies the educational requirements of residents, contributing to higher community satisfaction.</t>
  </si>
  <si>
    <t>Schools: Tertiary (Universities)</t>
  </si>
  <si>
    <t>Universities provide essential social infrastructure; their accessibility contributes to the overall convenience and livability rating of urban environments.</t>
  </si>
  <si>
    <t>Proximity to healthcare and grocery stores ensures that residents can easily manage their health and maintain a nutritious daily diet.</t>
  </si>
  <si>
    <t>Almashhour &amp; Samara, 2022, 'Evaluating Liveability Perceptions'; Zhu et al., 2020, 'Assessing community-level liveability using combined remote sensing and internet-based big geospatial data'; Gough, 2015, 'Reconciling liveability and sustainability'; Zanella et al., 2015, 'The assessment of cities' liveability integrating human wellbeing and environmental impact'; Benita et al., 2021, 'A spatial liveability index for dense urban centers'</t>
  </si>
  <si>
    <t>Walkability Index</t>
  </si>
  <si>
    <t>Walking Infrastructure</t>
  </si>
  <si>
    <t>Designing side alleys to promote walking and cycling integrates residents into the urban fabric and supports a healthy, human-oriented environment.</t>
  </si>
  <si>
    <t>Monitoring hazardous waste volumes is essential for preventing the accumulation of toxic substances in the environment that can cause severe illness or injury.</t>
  </si>
  <si>
    <t>ER: We can obtain data for some industries from the Taking Stock website</t>
  </si>
  <si>
    <t xml:space="preserve">Blue infrastructure </t>
  </si>
  <si>
    <t>Proximity to available water resources is a critical liveability indicator in arid urban environments, as access to water is fundamental to human health, comfort, and survival.</t>
  </si>
  <si>
    <t>Liveability composite: weighted at 10.24% in the index; Association reported; no individual health effect size provided.</t>
  </si>
  <si>
    <t>checar indicator /ER: This would need to include the canals</t>
  </si>
  <si>
    <t>Mexicali Liveability Index</t>
  </si>
  <si>
    <t>Rapid urbanization can place excessive strain on the fragile ecosystems of underdeveloped regions, potentially diminishing the quality of the living environment.</t>
  </si>
  <si>
    <t>Fu et al., 2017, 'Hydrogeomorphic ecosystem responses to natural and anthropogenic changes in the Loess Plateau of China'; Bediroglu, 2021, 'Developing GIS interface for the automated analysis and assessment of livable and sustainable city criterion sets'</t>
  </si>
  <si>
    <t>Urban liveability: β = -0.082 (p &lt; 0.05), inverse association</t>
  </si>
  <si>
    <t>ER: This can be measured with the longitudinal data and analysis we have on our scaling and remoteness article</t>
  </si>
  <si>
    <t>Blue infrastructure</t>
  </si>
  <si>
    <t>Affordable housing</t>
  </si>
  <si>
    <t>Excluded?</t>
  </si>
  <si>
    <t>Does it matter?</t>
  </si>
  <si>
    <t>Can we calculate this? Do we have data?</t>
  </si>
  <si>
    <t>Dudas</t>
  </si>
  <si>
    <t>Building front/facxade</t>
  </si>
  <si>
    <t>18;20;21;8</t>
  </si>
  <si>
    <t>Road safety</t>
  </si>
  <si>
    <t>Scale</t>
  </si>
  <si>
    <t>Cycling Infrastructure</t>
  </si>
  <si>
    <t>Cycling infrastructure: Pedestrian infrastructure</t>
  </si>
  <si>
    <t>Cycling Infrastructure; Pedestrian Infrastructure</t>
  </si>
  <si>
    <t>Active travel</t>
  </si>
  <si>
    <t>&lt;30; TA</t>
  </si>
  <si>
    <t>&gt;1500; TA</t>
  </si>
  <si>
    <t>30-300; TA</t>
  </si>
  <si>
    <t>300-600; TA</t>
  </si>
  <si>
    <t>600-1500; TA</t>
  </si>
  <si>
    <t>public transport</t>
  </si>
  <si>
    <t>transport routes</t>
  </si>
  <si>
    <t>25;35</t>
  </si>
  <si>
    <t>Green infrastructure</t>
  </si>
  <si>
    <t>25: [Distance from residence calculated as the % of residents living within  &lt;500m, 500m-1km, 1-3 km and more 3 km from an UGS euclidean buffer
35: [Intercept survey around UGS]</t>
  </si>
  <si>
    <t>cómo se mide? indicator?</t>
  </si>
  <si>
    <t xml:space="preserve">Green infrastructure </t>
  </si>
  <si>
    <t>Street Connectivity</t>
  </si>
  <si>
    <t>Block size</t>
  </si>
  <si>
    <t xml:space="preserve">Land use </t>
  </si>
  <si>
    <t>street connectivity</t>
  </si>
  <si>
    <t>3; 14</t>
  </si>
  <si>
    <t>3: ['Entropy TOPSIS model', 'Tobit model']
14: ['Entropy measure']
17: ['Not specified']</t>
  </si>
  <si>
    <t xml:space="preserve">Green Infrastructure </t>
  </si>
  <si>
    <t>Housing Diversity</t>
  </si>
  <si>
    <t>8; 10</t>
  </si>
  <si>
    <t>land use</t>
  </si>
  <si>
    <t>8: ['Hierarchical Modelling using Analytic Hierarchy Process (AHP)']
10: ['Fuzzy DEMATEL', 'Weighted Linear Combination (WLC),']</t>
  </si>
  <si>
    <t>1; 6; 16; 2; 19</t>
  </si>
  <si>
    <t>1: ['Delphi', "Kendall's coefficient", "Cronbach's alpha value"]
6: ['Delphi Process', 'Analytic Hierarchy Process']
16: ['Exploratory Factor Analysis', 'Standard Deviational Ellipse,', 'Hot Spot Analysis,', 'Network Analysis']
2: ['Analytical hierarchy process']
19:  ['machine learning is integrated into semantic image segmentation technique to extract green pixels from the street view images using the scene  parsing method; SVG', 'entropy index  (relative percentage of various land-use types)']</t>
  </si>
  <si>
    <t>Lightning is sufficient</t>
  </si>
  <si>
    <t>Street connectivity; Block Size</t>
  </si>
  <si>
    <t>10; 15: 16</t>
  </si>
  <si>
    <t>10: ['Fuzzy DEMATEL', 'Weighted Linear Combination (WLC),']
15: ['Likert scale']
16: ['Exploratory Factor Analysis', 'Standard Deviational Ellipse,', 'Hot Spot Analysis,', 'Network Analysis']</t>
  </si>
  <si>
    <t>16; 21</t>
  </si>
  <si>
    <t>16: ['Exploratory Factor Analysis', 'Standard Deviational Ellipse,', 'Hot Spot Analysis,', 'Network Analysis']
21: ['Kernel Density Estimation (KDE) to identify spatial clusters of walkability-related  features', 'Line Density Analysis to measure connectivity of pedestrian infrastructure. These  methods complement each other by capturing both the qualitative and quantitative aspects  of walkability']</t>
  </si>
  <si>
    <t>pedestrian infrastructure</t>
  </si>
  <si>
    <t>3: ['Entropy TOPSIS model', 'Tobit model']
14: ['Entropy measure']</t>
  </si>
  <si>
    <t xml:space="preserve">Street connectivity </t>
  </si>
  <si>
    <t>Urban beatification</t>
  </si>
  <si>
    <t>blue Infrastructure</t>
  </si>
  <si>
    <t>&lt;300; AWR</t>
  </si>
  <si>
    <t>&gt;1500; AWR</t>
  </si>
  <si>
    <t>1200-1500; AWR</t>
  </si>
  <si>
    <t>300-600; AWR</t>
  </si>
  <si>
    <t>600-1200; AWR</t>
  </si>
  <si>
    <t>1;6;18;22</t>
  </si>
  <si>
    <t>Air</t>
  </si>
  <si>
    <t xml:space="preserve">Waste management </t>
  </si>
  <si>
    <t>Centralized treatment rate of sewage treatment; Environmental  pollution</t>
  </si>
  <si>
    <t>Environmental cleanliness</t>
  </si>
  <si>
    <t>vegetation</t>
  </si>
  <si>
    <t>High; VC</t>
  </si>
  <si>
    <t>Low; VC</t>
  </si>
  <si>
    <t>Medium; VC</t>
  </si>
  <si>
    <t>10;12</t>
  </si>
  <si>
    <t>10: Noise (Decibel)
12: Noise disturbance</t>
  </si>
  <si>
    <t xml:space="preserve">Water </t>
  </si>
  <si>
    <t>Sub High; VC</t>
  </si>
  <si>
    <t>Sub Low; VC</t>
  </si>
  <si>
    <t>*****</t>
  </si>
  <si>
    <t>Water bodies; LUT</t>
  </si>
  <si>
    <t>2; 27</t>
  </si>
  <si>
    <t>que subdomain e indicator es?</t>
  </si>
  <si>
    <t>16; 27; 11</t>
  </si>
  <si>
    <t>16: ['Exploratory Factor Analysis', 'Standard Deviational Ellipse,', 'Hot Spot Analysis,', 'Network Analysis']
27: indicating the number of housing units per acre 
11: ['Distance-based accessibility measures', 'Objective environmental and neighbourhood indicators', 'Resident perception surveys using 5-point Likert scales', 'Satisfaction-based scoring for each livability dimension']</t>
  </si>
  <si>
    <t>9;16</t>
  </si>
  <si>
    <t>9: ['N/A']
16: ['Exploratory Factor Analysis', 'Standard Deviational Ellipse,', 'Hot Spot Analysis,', 'Network Analysis']</t>
  </si>
  <si>
    <t>Dwelling typology</t>
  </si>
  <si>
    <t>Housing Condition</t>
  </si>
  <si>
    <t>Retail/Shops</t>
  </si>
  <si>
    <t>Number of stalls</t>
  </si>
  <si>
    <t>Supermarkets</t>
  </si>
  <si>
    <t>Economic development</t>
  </si>
  <si>
    <t>Employment Centers</t>
  </si>
  <si>
    <t>no estoy segura de esos indicadores</t>
  </si>
  <si>
    <t>Education centers</t>
  </si>
  <si>
    <t>Community facilities</t>
  </si>
  <si>
    <t>Culture &amp; leisure</t>
  </si>
  <si>
    <t>Health &amp; social services</t>
  </si>
  <si>
    <t xml:space="preserve">Culture &amp; leisure </t>
  </si>
  <si>
    <t>Residents’ satisfaction</t>
  </si>
  <si>
    <t xml:space="preserve">Community Facilities </t>
  </si>
  <si>
    <t>Heath &amp; social services</t>
  </si>
  <si>
    <t>14; 16; 17</t>
  </si>
  <si>
    <t>14: ['Entropy measure']
16: ['Exploratory Factor Analysis', 'Standard Deviational Ellipse,', 'Hot Spot Analysis,', 'Network Analysis']
17: ['Entropy measure']</t>
  </si>
  <si>
    <t>education centers</t>
  </si>
  <si>
    <t>education</t>
  </si>
  <si>
    <t>14; 17</t>
  </si>
  <si>
    <t>Population Statistics</t>
  </si>
  <si>
    <t>Population statistics</t>
  </si>
  <si>
    <t>Employment statistics</t>
  </si>
  <si>
    <t>6; 13</t>
  </si>
  <si>
    <t>13: ['Identification of measurable spatial indicators, how they can me calculated and monitored']
6: ['Delphi Process', 'Analytic Hierarchy Process']</t>
  </si>
  <si>
    <t>Household statistics</t>
  </si>
  <si>
    <t>Population Statistics; Household Statistics</t>
  </si>
  <si>
    <t>Employment Statistics</t>
  </si>
  <si>
    <t>GDP growth rate; Economic growth</t>
  </si>
  <si>
    <t>4; 6; 19; 30</t>
  </si>
  <si>
    <t>sociodemographics</t>
  </si>
  <si>
    <t>8; 22</t>
  </si>
  <si>
    <t>8: ['Hierarchical Modelling using Analytic Hierarchy Process (AHP)']
22: ['N/A']</t>
  </si>
  <si>
    <t>Income(10,000–15,000)</t>
  </si>
  <si>
    <t>Income(5000–9999)</t>
  </si>
  <si>
    <t>Income(above 15,000)</t>
  </si>
  <si>
    <t>population statistics</t>
  </si>
  <si>
    <t xml:space="preserve">Sociodemographics </t>
  </si>
  <si>
    <t xml:space="preserve">Household statistics </t>
  </si>
  <si>
    <t>1; 3; 6; 8; 19; 27</t>
  </si>
  <si>
    <t>1: ['Delphi', "Kendall's coefficient", "Cronbach's alpha value"]
3: ['Entropy TOPSIS model', 'Tobit model']
6: ['Delphi Process', 'Analytic Hierarchy Process']
8: ['Hierarchical Modelling using Analytic Hierarchy Process (AHP)']
19: ['machine learning is integrated into semantic image segmentation technique to extract green pixels from the street view images using the scene  parsing method; SVG', 'entropy index  (relative percentage of various land-use types)']
27: [GIS mapping]</t>
  </si>
  <si>
    <t>Urbanization rate; Economic growth</t>
  </si>
  <si>
    <t>CH: To judge what is "high" and unaffordable may require some interpretation / guidance / use of a threshold (in Australia we us a 30:40 measure of housing affordability stress https://www.ahuri.edu.au/analysis/brief/understanding-3040-indicator-housing-affordability-stress</t>
  </si>
  <si>
    <t>CH: is there much variation in access to telecommunications infrastructure in mexicali?</t>
  </si>
  <si>
    <t>CH: worth noting, minimarts may not be 'healthy food' necessarily (depends on context how its interpreted -- eg is OXXO a healthy food destination? maybe more associated with junk/convenience food?)</t>
  </si>
  <si>
    <t>CH: the evidence for this one might be complex -- I can imagine there might be a sweet spot --- yes, you don't want to be too close (how close is that, maybe that is our indicator --- not within XXX distance m, if we can link with citable evidence.)  But the reality is people do drive, and need petrol or perhaps electrical charging; living too far from one could impact some aspects of life.  Lets be guided by evidence here.  Here's a good basis for an indicator:   Petrol station within 250m is associated with increased relative risk of childhood leukemia.   Another study: https://link.springer.com/article/10.1007/s00420-021-01767-y</t>
  </si>
  <si>
    <t>CH: Only useful if it can be acquired with meaningful variation</t>
  </si>
  <si>
    <t xml:space="preserve">ER: High relevance as Condesa haz manufacturing facilities.  </t>
  </si>
  <si>
    <t>CH: we need to provide clear evidence/guidance about what this means (e.g. is proximity good because of employment opportunities, or bad because of exposure to air/noise pollution?)</t>
  </si>
  <si>
    <t>ER: Could this one be part of a composite index with distance to fire station (174)?  CH: Interesting idea --- I'm not sure "distance to closest" is the most interesting headline here, but rather access within threshold if we can support it with evidence.  If we can find citable evidence that you should be within XXX m of fire, police, hospital etc -- this could be a score for emergency services provision.  But distance alone may not be great --- imagine if you were 0m from all three, would you want to live there with sirens going off all the time?  Maybe not!  I don't think living next to these places is something we want to suggest is perfect, so much as access within a reasonable distance for when you need it</t>
  </si>
  <si>
    <t>Accessibility (threshold)</t>
  </si>
  <si>
    <t>Quantity (threshold)</t>
  </si>
  <si>
    <t>Density (threshold)</t>
  </si>
  <si>
    <t>Accessibility; Equity
27: Quantity</t>
  </si>
  <si>
    <t>Lens / Enfoque (plural approaches for considering an indicator)</t>
  </si>
  <si>
    <t>Distance to closest (m) along the pedestrian network</t>
  </si>
  <si>
    <t>Access within relevant threshold</t>
  </si>
  <si>
    <t>Percentage of population who can access a blue space within threshold distances (&lt;300m;  300-600m; 600-1200m; 1200-1500m;&gt;1500m)</t>
  </si>
  <si>
    <t>Average distance to the closest blue space (m)</t>
  </si>
  <si>
    <t>Description of analytical lens</t>
  </si>
  <si>
    <t>Count within relevant threshold</t>
  </si>
  <si>
    <t>Count of blue spaces within threshold distances (&lt;300m;  300-600m; 600-1200m; 1200-1500m;&gt;1500m)</t>
  </si>
  <si>
    <t>Relative to another unit (e.g. sqkm or per capita), or percentage coverage</t>
  </si>
  <si>
    <t>Percentage of blue space within neighbourhood</t>
  </si>
  <si>
    <t>Supermarkets per km2</t>
  </si>
  <si>
    <t>Indicator example (e.g. aggregate for manzanas / AGEB / grid, as appropriate/feasible)</t>
  </si>
  <si>
    <t>Square meters of green space per capita</t>
  </si>
  <si>
    <t>&gt;= 9sqm green space per capita within 15 minutes walking distance</t>
  </si>
  <si>
    <t>https://unhabitat.org/developing-public-space-and-land-values-in-cities-and-neighbourhoods</t>
  </si>
  <si>
    <t>Reference</t>
  </si>
  <si>
    <t>Entropy score (is what I think of)</t>
  </si>
  <si>
    <t>Network distance</t>
  </si>
  <si>
    <t>Within area or threshold</t>
  </si>
  <si>
    <t>Within threshold distance</t>
  </si>
  <si>
    <t>Depends?</t>
  </si>
  <si>
    <t>Example reference</t>
  </si>
  <si>
    <t>Mavoa, S., Eagleson, S., Badland, H. M., Gunn, L., Boulange, C., Stewart, J., &amp; Giles-Corti, B. (2018). Identifying appropriate land-use mix measures for use in a national walkability index. Journal of Transport and Land Use, 11(1). https://doi.org/10.5198/jtlu.2018.1132</t>
  </si>
  <si>
    <t>ER: From the original article this was obtained, this is defined as "Fu2 Integration into a wider urban structure"  Which is actually focused on "High-quality residential environment includes the coexistence of various social groups ensuring them to live in quality residential environment and preventing their users and residential environments from isolation." So, I am not sure how we could measure this (I agree, could be difficult to measure in a meaningful way)</t>
  </si>
  <si>
    <t>Flooding - main roads</t>
  </si>
  <si>
    <t>Flooding - annual average days for main roads</t>
  </si>
  <si>
    <t>ER: This indicator can also be part of the built environment domain / Walkability; CH: I think this means we include it then?</t>
  </si>
  <si>
    <t>I think its good to measure if we can, but the evidence is complicated (e.g. real/perceived safety vs carbon emissions and 'night sky' preservation from light pollution)  https://pmc.ncbi.nlm.nih.gov/articles/PMC4509526/#s0075</t>
  </si>
  <si>
    <t>any, 1.5 Ha</t>
  </si>
  <si>
    <t>500 m</t>
  </si>
  <si>
    <t>per 1000 persons</t>
  </si>
  <si>
    <t>ER: We have available data on if there are fixed or semi-fixed stalls present but we can't know if these have a permit or not.  CH: I think lets not take it too literally -- street food/hawkers are part of a vibrant food environment, let's measure this (the permitted thing if this was from Bangkok mattered to them because they are the metropolitan administration; may have some relevance to public health but lets not make it a barrier to measuring street food)</t>
  </si>
  <si>
    <t>ER: Could this one be part of the Walkability Index?; CH: Great idea --- maybe this row could stand in for the walkability index?</t>
  </si>
  <si>
    <t>Lens / Enfoque</t>
  </si>
  <si>
    <t>Cultural centers</t>
  </si>
  <si>
    <t>Petrol station (&gt;= 250m away)</t>
  </si>
  <si>
    <t>Co-location of recreational areas with public transport</t>
  </si>
  <si>
    <t>Crime?</t>
  </si>
  <si>
    <t>Dwelling density</t>
  </si>
  <si>
    <t>Destination analysis using GHSCI tools with permutations of: distance to closest, access within threshold(s), and where applicable count per sqkm and per 1,000 persons</t>
  </si>
  <si>
    <t>Parks (local, neighbourhood, district, regional)</t>
  </si>
  <si>
    <t>Sidewalk availability</t>
  </si>
  <si>
    <t>Level of cycling traffic stress</t>
  </si>
  <si>
    <t>Level of traffic stress network using GHSCI</t>
  </si>
  <si>
    <t>Reason this matters (draft)</t>
  </si>
  <si>
    <t>Thermal comfort indicator to be calculated by Rossano</t>
  </si>
  <si>
    <t>Part of GHSCI pipeline</t>
  </si>
  <si>
    <t>&gt;=250m</t>
  </si>
  <si>
    <t>Major roads are a source of air and noise pollution associated with negative health impacts</t>
  </si>
  <si>
    <t>&gt;=100m</t>
  </si>
  <si>
    <t>Road density</t>
  </si>
  <si>
    <t>Good air quality</t>
  </si>
  <si>
    <t>Hafsi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</si>
</sst>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rgb="FFFFFFFF"/>
      <name val="Aptos Narrow"/>
      <family val="2"/>
      <scheme val="minor"/>
    </font>
    <font>
      <sz val="12"/>
      <color rgb="FF000000"/>
      <name val="Aptos Narrow"/>
      <family val="2"/>
    </font>
    <font>
      <sz val="12"/>
      <color rgb="FF000000"/>
      <name val="Aptos Narrow"/>
      <family val="2"/>
      <scheme val="minor"/>
    </font>
    <font>
      <sz val="12"/>
      <color theme="1"/>
      <name val="Aptos Narrow"/>
      <family val="2"/>
      <scheme val="minor"/>
    </font>
    <font>
      <sz val="10"/>
      <color rgb="FF000000"/>
      <name val="Arial"/>
      <family val="2"/>
    </font>
    <font>
      <sz val="10"/>
      <color theme="1"/>
      <name val="Arial"/>
      <family val="2"/>
    </font>
    <font>
      <sz val="11"/>
      <color theme="0"/>
      <name val="Aptos Narrow"/>
      <family val="2"/>
      <scheme val="minor"/>
    </font>
    <font>
      <sz val="11"/>
      <color theme="0"/>
      <name val="Calibri"/>
      <family val="2"/>
    </font>
    <font>
      <sz val="12"/>
      <color rgb="FFFF0000"/>
      <name val="Aptos Narrow"/>
      <family val="2"/>
      <scheme val="minor"/>
    </font>
    <font>
      <sz val="12"/>
      <name val="Aptos Narrow"/>
      <family val="2"/>
      <scheme val="minor"/>
    </font>
    <font>
      <b/>
      <sz val="12"/>
      <color theme="1"/>
      <name val="Aptos Narrow"/>
      <family val="2"/>
      <scheme val="minor"/>
    </font>
    <font>
      <b/>
      <sz val="12"/>
      <color rgb="FFFF0000"/>
      <name val="Aptos Narrow"/>
      <family val="2"/>
      <scheme val="minor"/>
    </font>
    <font>
      <sz val="10"/>
      <color theme="1"/>
      <name val="Aptos Narrow"/>
      <family val="2"/>
      <scheme val="minor"/>
    </font>
    <font>
      <sz val="10"/>
      <color rgb="FF000000"/>
      <name val="Aptos Narrow"/>
      <family val="2"/>
      <scheme val="minor"/>
    </font>
    <font>
      <b/>
      <sz val="10"/>
      <color rgb="FFFFFFFF"/>
      <name val="Aptos Narrow"/>
      <family val="2"/>
      <scheme val="minor"/>
    </font>
    <font>
      <b/>
      <sz val="10"/>
      <color theme="1"/>
      <name val="Aptos Narrow"/>
      <family val="2"/>
      <scheme val="minor"/>
    </font>
    <font>
      <sz val="10"/>
      <color rgb="FFA6A6A6"/>
      <name val="Aptos Narrow"/>
      <family val="2"/>
    </font>
    <font>
      <sz val="10"/>
      <color rgb="FF000000"/>
      <name val="Aptos Narrow"/>
      <family val="2"/>
    </font>
    <font>
      <sz val="11"/>
      <color rgb="FF242424"/>
      <name val="Aptos Narrow"/>
      <family val="2"/>
    </font>
    <font>
      <u/>
      <sz val="12"/>
      <color theme="10"/>
      <name val="Aptos Narrow"/>
      <family val="2"/>
      <scheme val="minor"/>
    </font>
  </fonts>
  <fills count="18">
    <fill>
      <patternFill patternType="none"/>
    </fill>
    <fill>
      <patternFill patternType="gray125"/>
    </fill>
    <fill>
      <patternFill patternType="solid">
        <fgColor rgb="FF156082"/>
        <bgColor rgb="FF000000"/>
      </patternFill>
    </fill>
    <fill>
      <patternFill patternType="solid">
        <fgColor rgb="FFE97132"/>
        <bgColor rgb="FF000000"/>
      </patternFill>
    </fill>
    <fill>
      <patternFill patternType="solid">
        <fgColor rgb="FF00B0F0"/>
        <bgColor rgb="FF000000"/>
      </patternFill>
    </fill>
    <fill>
      <patternFill patternType="solid">
        <fgColor theme="5"/>
        <bgColor indexed="64"/>
      </patternFill>
    </fill>
    <fill>
      <patternFill patternType="solid">
        <fgColor rgb="FF00B0F0"/>
        <bgColor indexed="64"/>
      </patternFill>
    </fill>
    <fill>
      <patternFill patternType="solid">
        <fgColor rgb="FFFFFF00"/>
        <bgColor indexed="64"/>
      </patternFill>
    </fill>
    <fill>
      <patternFill patternType="solid">
        <fgColor theme="7"/>
        <bgColor indexed="64"/>
      </patternFill>
    </fill>
    <fill>
      <patternFill patternType="solid">
        <fgColor rgb="FFFFFFFF"/>
        <bgColor indexed="64"/>
      </patternFill>
    </fill>
    <fill>
      <patternFill patternType="solid">
        <fgColor rgb="FF0F9ED5"/>
        <bgColor rgb="FF000000"/>
      </patternFill>
    </fill>
    <fill>
      <patternFill patternType="solid">
        <fgColor theme="0"/>
        <bgColor indexed="64"/>
      </patternFill>
    </fill>
    <fill>
      <patternFill patternType="solid">
        <fgColor theme="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11">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1"/>
      </left>
      <right/>
      <top style="thin">
        <color theme="1"/>
      </top>
      <bottom style="thin">
        <color theme="1"/>
      </bottom>
      <diagonal/>
    </border>
    <border>
      <left/>
      <right/>
      <top/>
      <bottom style="thin">
        <color theme="1"/>
      </bottom>
      <diagonal/>
    </border>
    <border>
      <left/>
      <right style="thin">
        <color theme="1"/>
      </right>
      <top/>
      <bottom style="thin">
        <color theme="1"/>
      </bottom>
      <diagonal/>
    </border>
    <border>
      <left/>
      <right/>
      <top style="thin">
        <color theme="1"/>
      </top>
      <bottom style="thin">
        <color theme="1"/>
      </bottom>
      <diagonal/>
    </border>
    <border>
      <left/>
      <right/>
      <top/>
      <bottom style="thin">
        <color indexed="64"/>
      </bottom>
      <diagonal/>
    </border>
    <border>
      <left/>
      <right/>
      <top style="thin">
        <color indexed="64"/>
      </top>
      <bottom/>
      <diagonal/>
    </border>
  </borders>
  <cellStyleXfs count="3">
    <xf numFmtId="0" fontId="0" fillId="0" borderId="0"/>
    <xf numFmtId="0" fontId="7" fillId="12" borderId="0" applyNumberFormat="0" applyBorder="0" applyAlignment="0" applyProtection="0"/>
    <xf numFmtId="0" fontId="20" fillId="0" borderId="0" applyNumberFormat="0" applyFill="0" applyBorder="0" applyAlignment="0" applyProtection="0"/>
  </cellStyleXfs>
  <cellXfs count="162">
    <xf numFmtId="0" fontId="0" fillId="0" borderId="0" xfId="0"/>
    <xf numFmtId="0" fontId="1" fillId="2" borderId="1" xfId="0" applyFont="1" applyFill="1" applyBorder="1" applyAlignment="1">
      <alignment horizontal="left" vertical="top" wrapText="1"/>
    </xf>
    <xf numFmtId="0" fontId="0" fillId="0" borderId="0" xfId="0" applyAlignment="1">
      <alignment wrapText="1"/>
    </xf>
    <xf numFmtId="0" fontId="3" fillId="6" borderId="0" xfId="0" applyFont="1" applyFill="1" applyAlignment="1">
      <alignment horizontal="left" vertical="top" wrapText="1"/>
    </xf>
    <xf numFmtId="0" fontId="3" fillId="0" borderId="0" xfId="0" applyFont="1" applyAlignment="1">
      <alignment horizontal="left" vertical="top" wrapText="1"/>
    </xf>
    <xf numFmtId="0" fontId="3" fillId="7" borderId="0" xfId="0" applyFont="1" applyFill="1" applyAlignment="1">
      <alignment horizontal="left" vertical="top" wrapText="1"/>
    </xf>
    <xf numFmtId="0" fontId="3" fillId="4" borderId="0" xfId="0" applyFont="1" applyFill="1" applyAlignment="1">
      <alignment horizontal="left" vertical="top" wrapText="1"/>
    </xf>
    <xf numFmtId="0" fontId="3" fillId="5" borderId="0" xfId="0" applyFont="1" applyFill="1" applyAlignment="1">
      <alignment horizontal="left" vertical="top" wrapText="1"/>
    </xf>
    <xf numFmtId="0" fontId="0" fillId="0" borderId="0" xfId="0" applyAlignment="1">
      <alignment vertical="top" wrapText="1"/>
    </xf>
    <xf numFmtId="0" fontId="3" fillId="8" borderId="0" xfId="0" applyFont="1" applyFill="1" applyAlignment="1">
      <alignment horizontal="left" vertical="top" wrapText="1"/>
    </xf>
    <xf numFmtId="0" fontId="3" fillId="0" borderId="0" xfId="0" applyFont="1" applyAlignment="1">
      <alignment vertical="top" wrapText="1"/>
    </xf>
    <xf numFmtId="0" fontId="3" fillId="6"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xf numFmtId="0" fontId="0" fillId="0" borderId="0" xfId="0" applyAlignment="1">
      <alignment vertical="top"/>
    </xf>
    <xf numFmtId="0" fontId="2" fillId="0" borderId="0" xfId="0" applyFont="1" applyAlignment="1">
      <alignment vertical="top" wrapText="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5" fillId="9" borderId="0" xfId="0" applyFont="1" applyFill="1" applyAlignment="1">
      <alignment vertical="top" wrapText="1" readingOrder="1"/>
    </xf>
    <xf numFmtId="0" fontId="4" fillId="0" borderId="0" xfId="0" applyFont="1" applyAlignment="1">
      <alignment vertical="top" wrapText="1"/>
    </xf>
    <xf numFmtId="0" fontId="0" fillId="5" borderId="0" xfId="0" applyFill="1" applyAlignment="1">
      <alignment vertical="top" wrapText="1"/>
    </xf>
    <xf numFmtId="0" fontId="6" fillId="5" borderId="0" xfId="0" applyFont="1" applyFill="1" applyAlignment="1">
      <alignment vertical="top" wrapText="1" readingOrder="1"/>
    </xf>
    <xf numFmtId="0" fontId="5" fillId="5" borderId="0" xfId="0" applyFont="1" applyFill="1" applyAlignment="1">
      <alignment vertical="top" wrapText="1" readingOrder="1"/>
    </xf>
    <xf numFmtId="0" fontId="4" fillId="5" borderId="0" xfId="0" applyFont="1" applyFill="1" applyAlignment="1">
      <alignment vertical="top" wrapText="1" readingOrder="1"/>
    </xf>
    <xf numFmtId="0" fontId="0" fillId="6" borderId="0" xfId="0" applyFill="1" applyAlignment="1">
      <alignment vertical="top" wrapText="1"/>
    </xf>
    <xf numFmtId="0" fontId="0" fillId="8" borderId="0" xfId="0" applyFill="1" applyAlignment="1">
      <alignment vertical="top" wrapText="1"/>
    </xf>
    <xf numFmtId="0" fontId="0" fillId="6" borderId="0" xfId="0" applyFill="1" applyAlignment="1">
      <alignment vertical="top"/>
    </xf>
    <xf numFmtId="0" fontId="3" fillId="0" borderId="0" xfId="0" applyFont="1" applyAlignment="1">
      <alignment vertical="top"/>
    </xf>
    <xf numFmtId="0" fontId="3" fillId="7" borderId="0" xfId="0" applyFont="1" applyFill="1" applyAlignment="1">
      <alignment vertical="top" wrapText="1"/>
    </xf>
    <xf numFmtId="0" fontId="3" fillId="7" borderId="0" xfId="0" applyFont="1" applyFill="1" applyAlignment="1">
      <alignment vertical="top"/>
    </xf>
    <xf numFmtId="0" fontId="3" fillId="4" borderId="0" xfId="0" applyFont="1" applyFill="1" applyAlignment="1">
      <alignment vertical="top"/>
    </xf>
    <xf numFmtId="0" fontId="3" fillId="3" borderId="0" xfId="0" applyFont="1" applyFill="1" applyAlignment="1">
      <alignment vertical="top"/>
    </xf>
    <xf numFmtId="0" fontId="3" fillId="3" borderId="0" xfId="0" applyFont="1" applyFill="1" applyAlignment="1">
      <alignment vertical="top" wrapText="1"/>
    </xf>
    <xf numFmtId="0" fontId="0" fillId="0" borderId="0" xfId="0" applyAlignment="1">
      <alignment horizontal="left" vertical="top" wrapText="1"/>
    </xf>
    <xf numFmtId="0" fontId="4" fillId="11" borderId="0" xfId="0" applyFont="1" applyFill="1" applyAlignment="1">
      <alignment vertical="top" wrapText="1" readingOrder="1"/>
    </xf>
    <xf numFmtId="0" fontId="0" fillId="11" borderId="0" xfId="0" applyFill="1" applyAlignment="1">
      <alignment vertical="top" wrapText="1"/>
    </xf>
    <xf numFmtId="0" fontId="5" fillId="11" borderId="0" xfId="0" applyFont="1" applyFill="1" applyAlignment="1">
      <alignment vertical="top" wrapText="1" readingOrder="1"/>
    </xf>
    <xf numFmtId="0" fontId="2" fillId="0" borderId="0" xfId="0" applyFont="1" applyAlignment="1">
      <alignment vertical="top"/>
    </xf>
    <xf numFmtId="0" fontId="4" fillId="0" borderId="0" xfId="0" applyFont="1" applyAlignment="1">
      <alignment vertical="top" readingOrder="1"/>
    </xf>
    <xf numFmtId="0" fontId="5" fillId="9" borderId="0" xfId="0" applyFont="1" applyFill="1" applyAlignment="1">
      <alignment vertical="top" readingOrder="1"/>
    </xf>
    <xf numFmtId="0" fontId="0" fillId="7" borderId="0" xfId="0" applyFill="1" applyAlignment="1">
      <alignment vertical="top" wrapText="1"/>
    </xf>
    <xf numFmtId="0" fontId="3" fillId="10" borderId="0" xfId="0" applyFont="1" applyFill="1" applyAlignment="1">
      <alignment vertical="top" wrapText="1"/>
    </xf>
    <xf numFmtId="0" fontId="1" fillId="2" borderId="1" xfId="0" applyFont="1" applyFill="1" applyBorder="1" applyAlignment="1">
      <alignment horizontal="right" vertical="top" wrapText="1"/>
    </xf>
    <xf numFmtId="0" fontId="3" fillId="0" borderId="0" xfId="0" applyFont="1" applyAlignment="1">
      <alignment horizontal="right" vertical="top" wrapText="1"/>
    </xf>
    <xf numFmtId="0" fontId="0" fillId="0" borderId="0" xfId="0" applyAlignment="1">
      <alignment horizontal="right" vertical="top" wrapText="1"/>
    </xf>
    <xf numFmtId="0" fontId="3" fillId="5" borderId="0" xfId="0" applyFont="1" applyFill="1" applyAlignment="1">
      <alignment horizontal="right" vertical="top" wrapText="1"/>
    </xf>
    <xf numFmtId="0" fontId="0" fillId="5" borderId="0" xfId="0" applyFill="1" applyAlignment="1">
      <alignment horizontal="right" vertical="top" wrapText="1"/>
    </xf>
    <xf numFmtId="0" fontId="0" fillId="0" borderId="0" xfId="0" applyAlignment="1">
      <alignment horizontal="right" vertical="top"/>
    </xf>
    <xf numFmtId="0" fontId="0" fillId="11" borderId="0" xfId="0" applyFill="1" applyAlignment="1">
      <alignment horizontal="right" vertical="top" wrapText="1"/>
    </xf>
    <xf numFmtId="0" fontId="3" fillId="0" borderId="0" xfId="0" applyFont="1" applyAlignment="1">
      <alignment horizontal="right" vertical="top"/>
    </xf>
    <xf numFmtId="0" fontId="3" fillId="6" borderId="0" xfId="0" applyFont="1" applyFill="1" applyAlignment="1">
      <alignment horizontal="right" vertical="top" wrapText="1"/>
    </xf>
    <xf numFmtId="0" fontId="0" fillId="7" borderId="0" xfId="0" applyFill="1" applyAlignment="1">
      <alignment horizontal="right" vertical="top" wrapText="1"/>
    </xf>
    <xf numFmtId="0" fontId="3" fillId="4" borderId="0" xfId="0" applyFont="1" applyFill="1" applyAlignment="1">
      <alignment horizontal="right" vertical="top" wrapText="1"/>
    </xf>
    <xf numFmtId="0" fontId="0" fillId="6" borderId="0" xfId="0" applyFill="1" applyAlignment="1">
      <alignment horizontal="right" vertical="top" wrapText="1"/>
    </xf>
    <xf numFmtId="0" fontId="2" fillId="0" borderId="0" xfId="0" applyFont="1" applyAlignment="1">
      <alignment horizontal="right" vertical="top" wrapText="1"/>
    </xf>
    <xf numFmtId="0" fontId="0" fillId="8" borderId="0" xfId="0" applyFill="1" applyAlignment="1">
      <alignment horizontal="right" vertical="top" wrapText="1"/>
    </xf>
    <xf numFmtId="0" fontId="0" fillId="6" borderId="0" xfId="0" applyFill="1" applyAlignment="1">
      <alignment horizontal="right" vertical="top"/>
    </xf>
    <xf numFmtId="0" fontId="3" fillId="7" borderId="0" xfId="0" applyFont="1" applyFill="1" applyAlignment="1">
      <alignment horizontal="right" vertical="top"/>
    </xf>
    <xf numFmtId="0" fontId="3" fillId="4" borderId="0" xfId="0" applyFont="1" applyFill="1" applyAlignment="1">
      <alignment horizontal="right" vertical="top"/>
    </xf>
    <xf numFmtId="0" fontId="3" fillId="3" borderId="0" xfId="0" applyFont="1" applyFill="1" applyAlignment="1">
      <alignment horizontal="right" vertical="top"/>
    </xf>
    <xf numFmtId="0" fontId="8" fillId="12" borderId="3" xfId="1" applyFont="1" applyBorder="1" applyAlignment="1">
      <alignment horizontal="left" vertical="top" wrapText="1"/>
    </xf>
    <xf numFmtId="0" fontId="8" fillId="12" borderId="3" xfId="1" applyFont="1" applyBorder="1" applyAlignment="1">
      <alignment horizontal="center" vertical="top" wrapText="1"/>
    </xf>
    <xf numFmtId="0" fontId="0" fillId="7" borderId="0" xfId="0" applyFill="1" applyAlignment="1">
      <alignment vertical="top"/>
    </xf>
    <xf numFmtId="0" fontId="0" fillId="7" borderId="0" xfId="0" applyFill="1" applyAlignment="1">
      <alignment horizontal="center" vertical="top"/>
    </xf>
    <xf numFmtId="0" fontId="0" fillId="7" borderId="0" xfId="0" applyFill="1" applyAlignment="1">
      <alignment horizontal="left" vertical="top" wrapText="1"/>
    </xf>
    <xf numFmtId="0" fontId="9" fillId="13" borderId="0" xfId="0" applyFont="1" applyFill="1" applyAlignment="1">
      <alignment vertical="top"/>
    </xf>
    <xf numFmtId="0" fontId="9" fillId="13" borderId="0" xfId="0" applyFont="1" applyFill="1" applyAlignment="1">
      <alignment horizontal="center" vertical="top"/>
    </xf>
    <xf numFmtId="0" fontId="9" fillId="13" borderId="0" xfId="0" applyFont="1" applyFill="1" applyAlignment="1">
      <alignment horizontal="left" vertical="top" wrapText="1"/>
    </xf>
    <xf numFmtId="0" fontId="0" fillId="14" borderId="0" xfId="0" applyFill="1" applyAlignment="1">
      <alignment vertical="top"/>
    </xf>
    <xf numFmtId="0" fontId="0" fillId="14" borderId="0" xfId="0" applyFill="1" applyAlignment="1">
      <alignment horizontal="center" vertical="top"/>
    </xf>
    <xf numFmtId="0" fontId="0" fillId="14" borderId="0" xfId="0" applyFill="1" applyAlignment="1">
      <alignment horizontal="left" vertical="top" wrapText="1"/>
    </xf>
    <xf numFmtId="0" fontId="0" fillId="15" borderId="0" xfId="0" applyFill="1" applyAlignment="1">
      <alignment vertical="top"/>
    </xf>
    <xf numFmtId="0" fontId="0" fillId="15" borderId="0" xfId="0" applyFill="1" applyAlignment="1">
      <alignment horizontal="center" vertical="top"/>
    </xf>
    <xf numFmtId="0" fontId="0" fillId="15" borderId="0" xfId="0" applyFill="1" applyAlignment="1">
      <alignment horizontal="left" vertical="top" wrapText="1"/>
    </xf>
    <xf numFmtId="0" fontId="0" fillId="16" borderId="0" xfId="0" applyFill="1" applyAlignment="1">
      <alignment vertical="top"/>
    </xf>
    <xf numFmtId="0" fontId="0" fillId="16" borderId="0" xfId="0" applyFill="1" applyAlignment="1">
      <alignment horizontal="center" vertical="top"/>
    </xf>
    <xf numFmtId="0" fontId="0" fillId="16" borderId="0" xfId="0" applyFill="1" applyAlignment="1">
      <alignment horizontal="left" vertical="top" wrapText="1"/>
    </xf>
    <xf numFmtId="0" fontId="3" fillId="15" borderId="0" xfId="0" applyFont="1" applyFill="1" applyAlignment="1">
      <alignment horizontal="left" vertical="top" wrapText="1"/>
    </xf>
    <xf numFmtId="0" fontId="0" fillId="15" borderId="0" xfId="0" applyFill="1" applyAlignment="1">
      <alignment wrapText="1"/>
    </xf>
    <xf numFmtId="0" fontId="2" fillId="15" borderId="0" xfId="0" applyFont="1" applyFill="1" applyAlignment="1">
      <alignment wrapText="1"/>
    </xf>
    <xf numFmtId="0" fontId="3" fillId="14" borderId="0" xfId="0" applyFont="1" applyFill="1" applyAlignment="1">
      <alignment horizontal="left" vertical="top" wrapText="1"/>
    </xf>
    <xf numFmtId="0" fontId="3" fillId="16" borderId="0" xfId="0" applyFont="1" applyFill="1" applyAlignment="1">
      <alignment horizontal="left" vertical="top" wrapText="1"/>
    </xf>
    <xf numFmtId="0" fontId="10" fillId="15" borderId="0" xfId="0" applyFont="1" applyFill="1" applyAlignment="1">
      <alignment horizontal="left" vertical="top" wrapText="1"/>
    </xf>
    <xf numFmtId="0" fontId="9" fillId="13" borderId="0" xfId="0" applyFont="1" applyFill="1" applyAlignment="1">
      <alignment wrapText="1"/>
    </xf>
    <xf numFmtId="0" fontId="9" fillId="7" borderId="0" xfId="0" applyFont="1" applyFill="1" applyAlignment="1">
      <alignment vertical="top"/>
    </xf>
    <xf numFmtId="0" fontId="9" fillId="7" borderId="0" xfId="0" applyFont="1" applyFill="1" applyAlignment="1">
      <alignment horizontal="left" vertical="top" wrapText="1"/>
    </xf>
    <xf numFmtId="0" fontId="9" fillId="7" borderId="0" xfId="0" applyFont="1" applyFill="1" applyAlignment="1">
      <alignment horizontal="center" vertical="top"/>
    </xf>
    <xf numFmtId="0" fontId="8" fillId="12" borderId="4" xfId="1" applyFont="1" applyBorder="1" applyAlignment="1">
      <alignment horizontal="left" vertical="top" wrapText="1"/>
    </xf>
    <xf numFmtId="0" fontId="8" fillId="12" borderId="4" xfId="1" applyFont="1" applyBorder="1" applyAlignment="1">
      <alignment horizontal="center" vertical="top" wrapText="1"/>
    </xf>
    <xf numFmtId="0" fontId="9" fillId="7" borderId="0" xfId="0" applyFont="1" applyFill="1" applyAlignment="1">
      <alignment horizontal="center" vertical="top" wrapText="1"/>
    </xf>
    <xf numFmtId="0" fontId="9" fillId="13" borderId="0" xfId="0" applyFont="1" applyFill="1" applyAlignment="1">
      <alignment horizontal="center" vertical="top" wrapText="1"/>
    </xf>
    <xf numFmtId="0" fontId="0" fillId="14" borderId="0" xfId="0" applyFill="1" applyAlignment="1">
      <alignment horizontal="center" vertical="top" wrapText="1"/>
    </xf>
    <xf numFmtId="0" fontId="0" fillId="7" borderId="0" xfId="0" applyFill="1" applyAlignment="1">
      <alignment horizontal="center" vertical="top" wrapText="1"/>
    </xf>
    <xf numFmtId="0" fontId="0" fillId="15" borderId="0" xfId="0" applyFill="1" applyAlignment="1">
      <alignment horizontal="center" vertical="top" wrapText="1"/>
    </xf>
    <xf numFmtId="0" fontId="0" fillId="16" borderId="0" xfId="0" applyFill="1" applyAlignment="1">
      <alignment horizontal="center" vertical="top" wrapText="1"/>
    </xf>
    <xf numFmtId="0" fontId="0" fillId="0" borderId="0" xfId="0" applyAlignment="1">
      <alignment horizontal="center"/>
    </xf>
    <xf numFmtId="0" fontId="1" fillId="2" borderId="1" xfId="0" applyFont="1" applyFill="1" applyBorder="1" applyAlignment="1">
      <alignment horizontal="center" vertical="top" wrapText="1"/>
    </xf>
    <xf numFmtId="0" fontId="0" fillId="5" borderId="0" xfId="0" applyFill="1" applyAlignment="1">
      <alignment horizontal="center" vertical="top" wrapText="1"/>
    </xf>
    <xf numFmtId="0" fontId="0" fillId="6" borderId="0" xfId="0" applyFill="1" applyAlignment="1">
      <alignment horizontal="center" vertical="top"/>
    </xf>
    <xf numFmtId="0" fontId="0" fillId="6" borderId="0" xfId="0" applyFill="1" applyAlignment="1">
      <alignment horizontal="center" vertical="top" wrapText="1"/>
    </xf>
    <xf numFmtId="0" fontId="3" fillId="0" borderId="0" xfId="0" applyFont="1" applyAlignment="1">
      <alignment horizontal="center" vertical="top"/>
    </xf>
    <xf numFmtId="0" fontId="0" fillId="0" borderId="0" xfId="0" applyAlignment="1">
      <alignment horizontal="center" vertical="top" wrapText="1"/>
    </xf>
    <xf numFmtId="0" fontId="3" fillId="0" borderId="0" xfId="0" applyFont="1" applyAlignment="1">
      <alignment horizontal="center" vertical="top" wrapText="1"/>
    </xf>
    <xf numFmtId="0" fontId="0" fillId="0" borderId="0" xfId="0" applyAlignment="1">
      <alignment horizontal="center" vertical="top"/>
    </xf>
    <xf numFmtId="0" fontId="3" fillId="7" borderId="0" xfId="0" applyFont="1" applyFill="1" applyAlignment="1">
      <alignment horizontal="center" vertical="top" wrapText="1"/>
    </xf>
    <xf numFmtId="0" fontId="3" fillId="7" borderId="0" xfId="0" applyFont="1" applyFill="1" applyAlignment="1">
      <alignment horizontal="center" vertical="top"/>
    </xf>
    <xf numFmtId="0" fontId="3" fillId="4" borderId="0" xfId="0" applyFont="1" applyFill="1" applyAlignment="1">
      <alignment horizontal="center" vertical="top"/>
    </xf>
    <xf numFmtId="0" fontId="3" fillId="3" borderId="0" xfId="0" applyFont="1" applyFill="1" applyAlignment="1">
      <alignment horizontal="center" vertical="top"/>
    </xf>
    <xf numFmtId="0" fontId="3" fillId="17" borderId="0" xfId="0" applyFont="1" applyFill="1" applyAlignment="1">
      <alignment vertical="top"/>
    </xf>
    <xf numFmtId="0" fontId="13"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right" vertical="top"/>
    </xf>
    <xf numFmtId="0" fontId="13" fillId="0" borderId="0" xfId="0" applyFont="1" applyAlignment="1">
      <alignment horizontal="center" vertical="top"/>
    </xf>
    <xf numFmtId="0" fontId="15" fillId="2" borderId="1" xfId="0" applyFont="1" applyFill="1" applyBorder="1" applyAlignment="1">
      <alignment horizontal="left" vertical="top" wrapText="1"/>
    </xf>
    <xf numFmtId="0" fontId="15" fillId="2" borderId="1" xfId="0" applyFont="1" applyFill="1" applyBorder="1" applyAlignment="1">
      <alignment horizontal="right" vertical="top" wrapText="1"/>
    </xf>
    <xf numFmtId="0" fontId="16" fillId="0" borderId="0" xfId="0" applyFont="1" applyAlignment="1">
      <alignment vertical="top"/>
    </xf>
    <xf numFmtId="0" fontId="15" fillId="2" borderId="2" xfId="0" applyFont="1" applyFill="1" applyBorder="1" applyAlignment="1">
      <alignment horizontal="center" vertical="top" textRotation="90" wrapText="1"/>
    </xf>
    <xf numFmtId="0" fontId="15" fillId="2" borderId="2" xfId="0" applyFont="1" applyFill="1" applyBorder="1" applyAlignment="1">
      <alignment horizontal="left" vertical="top" wrapText="1"/>
    </xf>
    <xf numFmtId="0" fontId="15" fillId="2" borderId="2" xfId="0" applyFont="1" applyFill="1" applyBorder="1" applyAlignment="1">
      <alignment horizontal="right" vertical="top" wrapText="1"/>
    </xf>
    <xf numFmtId="0" fontId="15" fillId="2" borderId="2" xfId="0" applyFont="1" applyFill="1" applyBorder="1" applyAlignment="1">
      <alignment horizontal="center" vertical="top" wrapText="1"/>
    </xf>
    <xf numFmtId="0" fontId="15" fillId="2" borderId="1" xfId="0" applyFont="1" applyFill="1" applyBorder="1" applyAlignment="1">
      <alignment horizontal="center" vertical="top" wrapText="1"/>
    </xf>
    <xf numFmtId="0" fontId="13" fillId="0" borderId="0" xfId="0" applyFont="1" applyAlignment="1">
      <alignmen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14" fillId="0" borderId="0" xfId="0" applyFont="1" applyAlignment="1">
      <alignment vertical="top" wrapText="1"/>
    </xf>
    <xf numFmtId="0" fontId="13" fillId="0" borderId="0" xfId="0" applyFont="1" applyAlignment="1">
      <alignment horizontal="right" vertical="top" wrapText="1"/>
    </xf>
    <xf numFmtId="0" fontId="14" fillId="0" borderId="0" xfId="0" applyFont="1" applyAlignment="1">
      <alignment horizontal="right" vertical="top" wrapText="1"/>
    </xf>
    <xf numFmtId="0" fontId="13" fillId="0" borderId="0" xfId="0" applyFont="1" applyAlignment="1">
      <alignment vertical="top" wrapText="1" readingOrder="1"/>
    </xf>
    <xf numFmtId="0" fontId="13" fillId="0" borderId="0" xfId="0" applyFont="1" applyAlignment="1">
      <alignment horizontal="left" vertical="top" wrapText="1" readingOrder="1"/>
    </xf>
    <xf numFmtId="0" fontId="14" fillId="0" borderId="0" xfId="0" applyFont="1" applyAlignment="1">
      <alignment vertical="top" wrapText="1" readingOrder="1"/>
    </xf>
    <xf numFmtId="0" fontId="13" fillId="0" borderId="5" xfId="0" applyFont="1" applyBorder="1" applyAlignment="1">
      <alignment horizontal="left" vertical="top" wrapText="1"/>
    </xf>
    <xf numFmtId="0" fontId="14" fillId="0" borderId="0" xfId="0" applyFont="1" applyAlignment="1">
      <alignment vertical="top"/>
    </xf>
    <xf numFmtId="0" fontId="14" fillId="0" borderId="0" xfId="0" applyFont="1" applyAlignment="1">
      <alignment horizontal="left" vertical="top"/>
    </xf>
    <xf numFmtId="0" fontId="14" fillId="0" borderId="0" xfId="0" applyFont="1" applyAlignment="1">
      <alignment horizontal="right" vertical="top"/>
    </xf>
    <xf numFmtId="0" fontId="13" fillId="0" borderId="0" xfId="0" applyFont="1" applyAlignment="1">
      <alignment horizontal="center" vertical="top" wrapText="1"/>
    </xf>
    <xf numFmtId="0" fontId="14" fillId="0" borderId="0" xfId="0" applyFont="1" applyAlignment="1">
      <alignment horizontal="center" vertical="top" wrapText="1"/>
    </xf>
    <xf numFmtId="0" fontId="13" fillId="0" borderId="0" xfId="0" applyFont="1" applyAlignment="1">
      <alignment horizontal="center" vertical="top" wrapText="1" readingOrder="1"/>
    </xf>
    <xf numFmtId="0" fontId="13" fillId="0" borderId="0" xfId="0" applyFont="1" applyAlignment="1">
      <alignment vertical="top" readingOrder="1"/>
    </xf>
    <xf numFmtId="0" fontId="15" fillId="2" borderId="1" xfId="0" applyFont="1" applyFill="1" applyBorder="1" applyAlignment="1">
      <alignment vertical="top" wrapText="1"/>
    </xf>
    <xf numFmtId="0" fontId="15" fillId="2" borderId="2" xfId="0" applyFont="1" applyFill="1" applyBorder="1" applyAlignment="1">
      <alignment vertical="top" wrapText="1"/>
    </xf>
    <xf numFmtId="0" fontId="2" fillId="0" borderId="0" xfId="0" applyFont="1" applyAlignment="1">
      <alignment horizontal="right" vertical="top"/>
    </xf>
    <xf numFmtId="0" fontId="2" fillId="0" borderId="0" xfId="0" applyFont="1" applyAlignment="1">
      <alignment horizontal="center" vertical="top"/>
    </xf>
    <xf numFmtId="0" fontId="2" fillId="7" borderId="0" xfId="0" applyFont="1" applyFill="1" applyAlignment="1">
      <alignment horizontal="right" vertical="top"/>
    </xf>
    <xf numFmtId="0" fontId="2" fillId="7" borderId="0" xfId="0" applyFont="1" applyFill="1" applyAlignment="1">
      <alignment horizontal="center" vertical="top"/>
    </xf>
    <xf numFmtId="0" fontId="2" fillId="7" borderId="0" xfId="0" applyFont="1" applyFill="1" applyAlignment="1">
      <alignment vertical="top"/>
    </xf>
    <xf numFmtId="0" fontId="2" fillId="7" borderId="0" xfId="0" applyFont="1" applyFill="1" applyAlignment="1">
      <alignment vertical="top" wrapText="1"/>
    </xf>
    <xf numFmtId="0" fontId="2" fillId="0" borderId="0" xfId="0" applyFont="1" applyAlignment="1">
      <alignment horizontal="left" vertical="top" wrapText="1"/>
    </xf>
    <xf numFmtId="0" fontId="17" fillId="0" borderId="0" xfId="0" applyFont="1"/>
    <xf numFmtId="0" fontId="14" fillId="16" borderId="0" xfId="0" applyFont="1" applyFill="1" applyAlignment="1">
      <alignment horizontal="left" vertical="top" wrapText="1"/>
    </xf>
    <xf numFmtId="0" fontId="13" fillId="16" borderId="0" xfId="0" applyFont="1" applyFill="1" applyAlignment="1">
      <alignment horizontal="left" vertical="top" wrapText="1"/>
    </xf>
    <xf numFmtId="0" fontId="18" fillId="0" borderId="0" xfId="0" applyFont="1" applyAlignment="1">
      <alignment wrapText="1"/>
    </xf>
    <xf numFmtId="0" fontId="19" fillId="0" borderId="0" xfId="0" applyFont="1"/>
    <xf numFmtId="0" fontId="20" fillId="0" borderId="0" xfId="2"/>
    <xf numFmtId="0" fontId="11" fillId="0" borderId="9" xfId="0" applyFont="1" applyBorder="1" applyAlignment="1">
      <alignment vertical="top" wrapText="1"/>
    </xf>
    <xf numFmtId="0" fontId="0" fillId="0" borderId="10" xfId="0" applyBorder="1"/>
    <xf numFmtId="0" fontId="0" fillId="0" borderId="9" xfId="0" applyBorder="1"/>
    <xf numFmtId="0" fontId="15" fillId="2" borderId="5" xfId="0" applyFont="1" applyFill="1" applyBorder="1" applyAlignment="1">
      <alignment horizontal="center" vertical="top" wrapText="1"/>
    </xf>
    <xf numFmtId="0" fontId="15" fillId="2" borderId="6" xfId="0" applyFont="1" applyFill="1" applyBorder="1" applyAlignment="1">
      <alignment horizontal="left" vertical="top" wrapText="1"/>
    </xf>
    <xf numFmtId="0" fontId="15" fillId="2" borderId="7" xfId="0" applyFont="1" applyFill="1" applyBorder="1" applyAlignment="1">
      <alignment horizontal="left" vertical="top" wrapText="1"/>
    </xf>
    <xf numFmtId="0" fontId="15" fillId="2" borderId="8" xfId="0" applyFont="1" applyFill="1" applyBorder="1" applyAlignment="1">
      <alignment horizontal="center" vertical="top" wrapText="1"/>
    </xf>
    <xf numFmtId="0" fontId="0" fillId="0" borderId="0" xfId="0" applyAlignment="1">
      <alignment horizontal="left" vertical="top"/>
    </xf>
  </cellXfs>
  <cellStyles count="3">
    <cellStyle name="Accent1" xfId="1" builtinId="29"/>
    <cellStyle name="Hyperlink" xfId="2" builtinId="8"/>
    <cellStyle name="Normal" xfId="0" builtinId="0"/>
  </cellStyles>
  <dxfs count="24">
    <dxf>
      <font>
        <strike val="0"/>
        <color theme="0" tint="-0.34998626667073579"/>
      </font>
      <fill>
        <patternFill>
          <bgColor theme="5" tint="0.59996337778862885"/>
        </patternFill>
      </fill>
    </dxf>
    <dxf>
      <font>
        <strike val="0"/>
        <color theme="0" tint="-0.34998626667073579"/>
      </font>
      <fill>
        <patternFill>
          <bgColor theme="8" tint="0.79998168889431442"/>
        </patternFill>
      </fill>
    </dxf>
    <dxf>
      <font>
        <strike val="0"/>
        <color theme="0" tint="-0.34998626667073579"/>
      </font>
      <fill>
        <patternFill>
          <bgColor theme="5" tint="0.59996337778862885"/>
        </patternFill>
      </fill>
    </dxf>
    <dxf>
      <font>
        <strike val="0"/>
        <color theme="0" tint="-0.499984740745262"/>
      </font>
      <fill>
        <patternFill>
          <bgColor theme="2"/>
        </patternFill>
      </fill>
    </dxf>
    <dxf>
      <font>
        <strike val="0"/>
        <color theme="0" tint="-0.34998626667073579"/>
      </font>
      <fill>
        <patternFill>
          <bgColor theme="5" tint="0.59996337778862885"/>
        </patternFill>
      </fill>
    </dxf>
    <dxf>
      <font>
        <strike val="0"/>
        <color theme="0" tint="-0.499984740745262"/>
      </font>
      <fill>
        <patternFill>
          <bgColor theme="2"/>
        </patternFill>
      </fill>
    </dxf>
    <dxf>
      <font>
        <strike val="0"/>
        <color theme="0" tint="-0.499984740745262"/>
      </font>
      <fill>
        <patternFill>
          <bgColor theme="2"/>
        </patternFill>
      </fill>
    </dxf>
    <dxf>
      <font>
        <strike val="0"/>
        <color theme="0" tint="-0.499984740745262"/>
      </font>
      <fill>
        <patternFill>
          <bgColor theme="2"/>
        </patternFill>
      </fill>
    </dxf>
    <dxf>
      <font>
        <strike val="0"/>
        <color theme="0" tint="-0.34998626667073579"/>
      </font>
      <fill>
        <patternFill>
          <bgColor theme="8" tint="0.79998168889431442"/>
        </patternFill>
      </fill>
    </dxf>
    <dxf>
      <font>
        <strike val="0"/>
        <color theme="0" tint="-0.499984740745262"/>
      </font>
      <fill>
        <patternFill>
          <bgColor theme="2"/>
        </patternFill>
      </fill>
    </dxf>
    <dxf>
      <font>
        <strike val="0"/>
        <color theme="0" tint="-0.34998626667073579"/>
      </font>
      <fill>
        <patternFill>
          <bgColor theme="8" tint="0.79998168889431442"/>
        </patternFill>
      </fill>
    </dxf>
    <dxf>
      <font>
        <strike val="0"/>
        <color theme="0" tint="-0.34998626667073579"/>
      </font>
      <fill>
        <patternFill>
          <bgColor theme="5" tint="0.59996337778862885"/>
        </patternFill>
      </fill>
    </dxf>
    <dxf>
      <font>
        <strike val="0"/>
        <color theme="2" tint="-0.499984740745262"/>
      </font>
      <fill>
        <patternFill>
          <bgColor theme="4" tint="0.59996337778862885"/>
        </patternFill>
      </fill>
    </dxf>
    <dxf>
      <font>
        <strike val="0"/>
        <color theme="0" tint="-0.499984740745262"/>
      </font>
      <fill>
        <patternFill>
          <bgColor theme="2"/>
        </patternFill>
      </fill>
    </dxf>
    <dxf>
      <font>
        <strike val="0"/>
        <color theme="0" tint="-0.34998626667073579"/>
      </font>
      <fill>
        <patternFill>
          <bgColor theme="8" tint="0.79998168889431442"/>
        </patternFill>
      </fill>
    </dxf>
    <dxf>
      <font>
        <strike val="0"/>
        <color theme="0" tint="-0.34998626667073579"/>
      </font>
      <fill>
        <patternFill>
          <bgColor theme="5" tint="0.59996337778862885"/>
        </patternFill>
      </fill>
    </dxf>
    <dxf>
      <font>
        <strike val="0"/>
        <color theme="0" tint="-0.34998626667073579"/>
      </font>
      <fill>
        <patternFill>
          <bgColor theme="8" tint="0.79998168889431442"/>
        </patternFill>
      </fill>
    </dxf>
    <dxf>
      <font>
        <strike val="0"/>
        <color theme="2" tint="-0.499984740745262"/>
      </font>
      <fill>
        <patternFill>
          <bgColor theme="4" tint="0.59996337778862885"/>
        </patternFill>
      </fill>
    </dxf>
    <dxf>
      <font>
        <strike val="0"/>
        <color theme="0" tint="-0.34998626667073579"/>
      </font>
      <fill>
        <patternFill>
          <bgColor theme="8" tint="0.79998168889431442"/>
        </patternFill>
      </fill>
    </dxf>
    <dxf>
      <font>
        <strike val="0"/>
        <color theme="0" tint="-0.34998626667073579"/>
      </font>
      <fill>
        <patternFill>
          <bgColor theme="5" tint="0.59996337778862885"/>
        </patternFill>
      </fill>
    </dxf>
    <dxf>
      <font>
        <strike val="0"/>
        <color theme="2" tint="-0.499984740745262"/>
      </font>
      <fill>
        <patternFill>
          <bgColor theme="4" tint="0.59996337778862885"/>
        </patternFill>
      </fill>
    </dxf>
    <dxf>
      <font>
        <strike val="0"/>
        <color theme="0" tint="-0.34998626667073579"/>
      </font>
      <fill>
        <patternFill>
          <bgColor theme="8" tint="0.79998168889431442"/>
        </patternFill>
      </fill>
    </dxf>
    <dxf>
      <font>
        <strike val="0"/>
        <color theme="0" tint="-0.34998626667073579"/>
      </font>
      <fill>
        <patternFill>
          <bgColor theme="8" tint="0.79998168889431442"/>
        </patternFill>
      </fill>
    </dxf>
    <dxf>
      <font>
        <strike val="0"/>
        <color theme="0" tint="-0.499984740745262"/>
      </font>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7468D62-CC55-4742-BBCD-52781A6B5BCE}">
    <nsvFilter filterId="{C78843A5-CB60-4BA1-9435-4CED1E888142}" ref="A2:AZ84" tableId="0">
      <columnFilter colId="28">
        <filter colId="28">
          <x:filters blank="1"/>
        </filter>
      </columnFilter>
      <sortRules>
        <sortRule colId="14">
          <sortCondition ref="O2:O84"/>
        </sortRule>
      </sortRules>
    </nsvFilter>
  </namedSheetView>
</namedSheetViews>
</file>

<file path=xl/persons/person.xml><?xml version="1.0" encoding="utf-8"?>
<personList xmlns="http://schemas.microsoft.com/office/spreadsheetml/2018/threadedcomments" xmlns:x="http://schemas.openxmlformats.org/spreadsheetml/2006/main">
  <person displayName="Carl Higgs" id="{7025C5F7-28F6-4BD0-B3D8-E1745093767F}" userId="Carl Higgs" providerId="None"/>
  <person displayName="Eugen Resendiz Bontrud" id="{3A6C8AE8-F73B-402C-A080-988460DC5304}" userId="S::eresendiz@tec.mx::ae70aeda-cb60-4f6d-96e9-2cd86665921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7-17T03:10:58.95" personId="{7025C5F7-28F6-4BD0-B3D8-E1745093767F}" id="{880362E8-4233-449C-AC31-C59B7ABE86D0}">
    <text>Language matters in indicators (and everything), so probably worth drafting the Mexacali ones in Spanish first and then English perhaps? English should follow Spanish rather than vice versa with the indicators (even if because the indicators will be determined by available data and concepts, eg manzanas etc).</text>
  </threadedComment>
  <threadedComment ref="L1" dT="2026-07-24T04:58:53.53" personId="{7025C5F7-28F6-4BD0-B3D8-E1745093767F}" id="{276B910E-4D93-4376-B0F5-BB4501FA54B8}">
    <text>Note: where indicators are flagged as “duplicates” we may later want to collate the multiple sub-domain tags, measure lenses and indicator categories.  Each indicator could have multiple tags for these aspects.</text>
  </threadedComment>
  <threadedComment ref="N1" dT="2026-07-17T03:01:44.76" personId="{7025C5F7-28F6-4BD0-B3D8-E1745093767F}" id="{3AFB5DD6-A02F-4EFA-95D7-EC6C943017C2}">
    <text>Useful to know if this is something concrete like a specific point/area of interest (eg for geospatial analysis) or something more area linkage based like an opinion or statistic</text>
  </threadedComment>
  <threadedComment ref="A2" dT="2026-07-24T04:04:57.93" personId="{7025C5F7-28F6-4BD0-B3D8-E1745093767F}" id="{FB5980D2-32A6-463B-A3FB-9CE2504B93EA}">
    <text>can be used to distinguish single measure from duplicates/variants, when the latter are excluded but not deleted</text>
  </threadedComment>
  <threadedComment ref="B2" dT="2026-07-17T03:10:58.95" personId="{7025C5F7-28F6-4BD0-B3D8-E1745093767F}" id="{618E8010-BFA0-45E9-AC09-D27F17A780E3}">
    <text>Language matters in indicators (and everything), so probably worth drafting the Mexacali ones in Spanish first and then English perhaps? English should follow Spanish rather than vice versa with the indicators (even if because the indicators will be determined by available data and concepts, eg manzanas etc).</text>
  </threadedComment>
  <threadedComment ref="O2" dT="2026-07-24T04:48:37.91" personId="{7025C5F7-28F6-4BD0-B3D8-E1745093767F}" id="{557E1174-11AE-4A3F-A982-9904B09960DE}">
    <text>Note: for indicator reduction purposes I haven’t counted these lenses --- I think these can be applied after reduction (eg in a web-based UI you could allow exploration of distance to closest or access/count within threshold etc), but while we hone in it will be useful to list each key topic (eg a POI only once) to ensure only relevant ones are included.</text>
  </threadedComment>
  <threadedComment ref="R2" dT="2026-08-04T03:48:09.88" personId="{7025C5F7-28F6-4BD0-B3D8-E1745093767F}" id="{6DF3A27A-796E-4EB7-8E78-E3D3A65261D6}">
    <text>This could be count (N) for POIs or area (% coverage) for areas of interest (eg blue space)</text>
  </threadedComment>
  <threadedComment ref="S2" dT="2026-08-04T01:30:25.06" personId="{7025C5F7-28F6-4BD0-B3D8-E1745093767F}" id="{E48464B8-23A5-44A0-9040-1E4CF4E827E4}">
    <text>could be per area (/sqm) or per capita (e.g. /10,000 persons) depending on evidence and relevance</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7-17T00:20:07.91" personId="{3A6C8AE8-F73B-402C-A080-988460DC5304}" id="{BC2ABAEE-76C1-45FD-92E4-0917E060C721}">
    <text xml:space="preserve">https://tecmx.sharepoint.com/:f:/r/sites/CentroparaelFuturodelasCiudades807/Shared%20Documents/P_EXE/3_Investigaci%C3%B3n/01_Entornos%20Vivibles/Revisi%C3%B3n%20de%20literatura/Referencias/Articulos%20en%20la%20revisi%C3%B3n%20final?csf=1&amp;web=1&amp;e=c8Sh1T
</text>
    <extLst>
      <x:ext xmlns:xltc2="http://schemas.microsoft.com/office/spreadsheetml/2020/threadedcomments2" uri="{F7C98A9C-CBB3-438F-8F68-D28B6AF4A901}">
        <xltc2:checksum>3886978458</xltc2:checksum>
        <xltc2:hyperlink startIndex="0" length="253" url="https://tecmx.sharepoint.com/:f:/r/sites/CentroparaelFuturodelasCiudades807/Shared%20Documents/P_EXE/3_Investigaci%C3%B3n/01_Entornos%20Vivibles/Revisi%C3%B3n%20de%20literatura/Referencias/Articulos%20en%20la%20revisi%C3%B3n%20final?csf=1&amp;web=1&amp;e=c8Sh1T"/>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6-07-17T03:01:44.76" personId="{7025C5F7-28F6-4BD0-B3D8-E1745093767F}" id="{0735AE85-6146-427F-9082-4BDFB54C2D7D}">
    <text>Useful to know if this is something concrete like a specific point/area of interest (eg for geospatial analysis) or something more area linkage based like an opinion or statistic</text>
  </threadedComment>
  <threadedComment ref="I1" dT="2026-07-17T03:10:58.95" personId="{7025C5F7-28F6-4BD0-B3D8-E1745093767F}" id="{32F4C292-6A77-40FF-8308-23298C42F8E5}">
    <text>Language matters in indicators (and everything), so probably worth drafting the Mexacali ones in Spanish first and then English perhaps? English should follow Spanish rather than vice versa with the indicators (even if because the indicators will be determined by available data and concepts, eg manzanas etc).</text>
  </threadedComment>
  <threadedComment ref="F4" dT="2026-07-17T03:18:45.58" personId="{7025C5F7-28F6-4BD0-B3D8-E1745093767F}" id="{44C5566E-D36D-4AB0-AB6D-7F96D03BFDDC}">
    <text>what are Guard rails and do we have data on this?</text>
  </threadedComment>
  <threadedComment ref="F8" dT="2026-07-17T03:26:07.87" personId="{7025C5F7-28F6-4BD0-B3D8-E1745093767F}" id="{BBC74AFC-986C-4AA6-AEB7-013714D7F296}">
    <text>I put ‘Footpaths’ here, but its not clear how this indicator evaluates walking friendly environment (it could be a walkability index, like we already produce using a pedestrian street network, or using analysis of quality of footpath infrastructure (width/access ramps/crossing infrastructure), low speed zones, or it could be the basis of a survey of opinions/perceptions.</text>
  </threadedComment>
  <threadedComment ref="G16" dT="2026-07-17T02:52:53.52" personId="{7025C5F7-28F6-4BD0-B3D8-E1745093767F}" id="{25EAC9EB-DAA8-4B6A-B330-582751E96F6D}">
    <text>If this is a Likert scale, its more like “strength” of agreement, e.g. with perception of petty crime I think.   If petty crimes were measured by a statistic rather than an opinion (perception) then perhaps it could be quantity or rate, depending on statistic?</text>
  </threadedComment>
  <threadedComment ref="F20" dT="2026-07-17T03:13:28.27" personId="{7025C5F7-28F6-4BD0-B3D8-E1745093767F}" id="{C79CDF3F-A9D4-468D-9319-6F2C27FA3FCE}">
    <text>Hard to know if this is something measurable --- it might be its own research study using streetview imagery?  If the data doesn’t already exist to measure or link an indicator readily, I think its grounds for exclusion.  It can be noted as an aspect for future research, etc.</text>
  </threadedComment>
  <threadedComment ref="F20" dT="2026-07-17T03:15:14.46" personId="{7025C5F7-28F6-4BD0-B3D8-E1745093767F}" id="{50B469DA-8748-40E4-AAA1-3BC45ACF5B36}" parentId="{C79CDF3F-A9D4-468D-9319-6F2C27FA3FCE}">
    <text>These sound like in the literature they were measured as opinions – i.e. on a Likert scale for strength of agreement.  I think there could be ways to attempt to objectively measure, which could be interesting, but won’t be feasible.  And likewise, as an opinion, that’s contingent on a specific survey that probably hasn’t been applied.  So perhaps these measures can’t be calculated?</text>
  </threadedComment>
  <threadedComment ref="G27" dT="2026-07-17T02:54:31.83" personId="{7025C5F7-28F6-4BD0-B3D8-E1745093767F}" id="{A0FD7BD2-58FD-441C-B18A-BDF3B15C1781}">
    <text>If this were “per sqkm” then I think I would describe as density, but as “per 1000 persons” I think it’s a rate.  It doesn’t really matter --- will be good to see what statistics are available and matter for Mexicali though.</text>
  </threadedComment>
  <threadedComment ref="G27" dT="2026-07-17T02:58:41.88" personId="{7025C5F7-28F6-4BD0-B3D8-E1745093767F}" id="{63C460E8-EE24-4540-A37F-0620010BE011}" parentId="{A0FD7BD2-58FD-441C-B18A-BDF3B15C1781}">
    <text>I changed from ‘density’ to ‘rate’</text>
  </threadedComment>
  <threadedComment ref="H29" dT="2026-07-17T03:23:16.11" personId="{7025C5F7-28F6-4BD0-B3D8-E1745093767F}" id="{A3D0B4AD-0ECA-4A16-A6A1-ED24E2800329}">
    <text>This could be a point-based spatial analysis or, more likely an area-based linkage analysis depending on data available</text>
  </threadedComment>
  <threadedComment ref="G31" dT="2026-07-17T03:05:12.13" personId="{7025C5F7-28F6-4BD0-B3D8-E1745093767F}" id="{E0D32C62-D434-4E37-9C5B-8402EC2BB051}">
    <text>How is this being measured?  Do you have a point location dataset of crimes across a certain period of time?  or count of crimes within districts?  ‘Crime’ is very high level, (eg tax evasion, fraud, violent crime, theft, etc).  I think good to be more specific, and be guided by available and relevant data (likely larger area scale).   I think theft and violent crimes, or more specific things like violence against vulnerable population sub-groups if the data is available at a meaningful scale could be most relevant.</text>
  </threadedComment>
</ThreadedComments>
</file>

<file path=xl/worksheets/_rels/sheet1.xml.rels><?xml version="1.0" encoding="UTF-8" standalone="yes"?>
<Relationships xmlns="http://schemas.openxmlformats.org/package/2006/relationships"><Relationship Id="rId8" Type="http://schemas.microsoft.com/office/2019/04/relationships/namedSheetView" Target="../namedSheetViews/namedSheetView1.xml"/><Relationship Id="rId3" Type="http://schemas.openxmlformats.org/officeDocument/2006/relationships/hyperlink" Target="https://www.mexicali.gob.mx/portalmexicali/calidad-aire/indices?id=1" TargetMode="External"/><Relationship Id="rId7" Type="http://schemas.microsoft.com/office/2017/10/relationships/threadedComment" Target="../threadedComments/threadedComment1.xml"/><Relationship Id="rId2" Type="http://schemas.openxmlformats.org/officeDocument/2006/relationships/hyperlink" Target="https://www.mexicali.gob.mx/portalmexicali/calidad-aire/indices?id=1" TargetMode="External"/><Relationship Id="rId1" Type="http://schemas.openxmlformats.org/officeDocument/2006/relationships/hyperlink" Target="https://www.mexicali.gob.mx/portalmexicali/calidad-aire/indices?id=1"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www.mexicali.gob.mx/portalmexicali/calidad-aire/indices?id=1"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unhabitat.org/developing-public-space-and-land-values-in-cities-and-neighbourhoods" TargetMode="External"/><Relationship Id="rId1" Type="http://schemas.openxmlformats.org/officeDocument/2006/relationships/hyperlink" Target="https://doi.org/10.5198/jtlu.2018.1132"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843A5-CB60-4BA1-9435-4CED1E888142}">
  <dimension ref="A1:AG245"/>
  <sheetViews>
    <sheetView zoomScaleNormal="100" workbookViewId="0">
      <pane xSplit="2" ySplit="2" topLeftCell="L3" activePane="bottomRight" state="frozen"/>
      <selection pane="topRight" activeCell="C1" sqref="C1"/>
      <selection pane="bottomLeft" activeCell="A3" sqref="A3"/>
      <selection pane="bottomRight" activeCell="AA8" sqref="AA8"/>
    </sheetView>
  </sheetViews>
  <sheetFormatPr defaultColWidth="11" defaultRowHeight="15" customHeight="1" x14ac:dyDescent="0.25"/>
  <cols>
    <col min="1" max="1" width="9.625" style="111" customWidth="1"/>
    <col min="2" max="2" width="27.75" style="110" customWidth="1"/>
    <col min="3" max="3" width="22.5" style="111" customWidth="1"/>
    <col min="4" max="11" width="3.375" style="113" hidden="1" customWidth="1"/>
    <col min="12" max="12" width="14.875" style="111" customWidth="1"/>
    <col min="13" max="13" width="21.125" style="110" customWidth="1"/>
    <col min="14" max="14" width="23.875" style="110" customWidth="1"/>
    <col min="15" max="15" width="11" style="110" hidden="1" customWidth="1"/>
    <col min="16" max="16" width="3.125" style="110" customWidth="1"/>
    <col min="17" max="17" width="5.625" style="110" customWidth="1"/>
    <col min="18" max="21" width="3.125" style="110" customWidth="1"/>
    <col min="22" max="22" width="11" style="111" customWidth="1"/>
    <col min="23" max="23" width="19.125" style="111" hidden="1" customWidth="1"/>
    <col min="24" max="24" width="44.125" style="111" hidden="1" customWidth="1"/>
    <col min="25" max="25" width="19.125" style="113" customWidth="1"/>
    <col min="26" max="26" width="22.75" style="113" customWidth="1"/>
    <col min="27" max="27" width="24.5" style="113" customWidth="1"/>
    <col min="28" max="28" width="9.875" style="112" customWidth="1"/>
    <col min="29" max="29" width="9.875" style="110" customWidth="1"/>
    <col min="30" max="30" width="12" style="112" customWidth="1"/>
    <col min="31" max="32" width="12" style="110" customWidth="1"/>
    <col min="33" max="16384" width="11" style="110"/>
  </cols>
  <sheetData>
    <row r="1" spans="1:32" s="116" customFormat="1" ht="30" customHeight="1" x14ac:dyDescent="0.25">
      <c r="A1" s="114" t="s">
        <v>936</v>
      </c>
      <c r="B1" s="114" t="s">
        <v>77</v>
      </c>
      <c r="C1" s="114" t="s">
        <v>78</v>
      </c>
      <c r="D1" s="157" t="s">
        <v>78</v>
      </c>
      <c r="E1" s="157"/>
      <c r="F1" s="157"/>
      <c r="G1" s="157"/>
      <c r="H1" s="157"/>
      <c r="I1" s="157"/>
      <c r="J1" s="157"/>
      <c r="K1" s="157"/>
      <c r="L1" s="121" t="s">
        <v>79</v>
      </c>
      <c r="M1" s="121" t="s">
        <v>80</v>
      </c>
      <c r="N1" s="121" t="s">
        <v>81</v>
      </c>
      <c r="O1" s="157" t="s">
        <v>1323</v>
      </c>
      <c r="P1" s="160"/>
      <c r="Q1" s="160"/>
      <c r="R1" s="160"/>
      <c r="S1" s="160"/>
      <c r="T1" s="160"/>
      <c r="U1" s="160"/>
      <c r="V1" s="158" t="s">
        <v>1334</v>
      </c>
      <c r="W1" s="158"/>
      <c r="X1" s="159"/>
      <c r="Y1" s="121" t="s">
        <v>85</v>
      </c>
      <c r="Z1" s="114" t="s">
        <v>86</v>
      </c>
      <c r="AA1" s="115" t="s">
        <v>0</v>
      </c>
      <c r="AB1" s="115" t="s">
        <v>87</v>
      </c>
      <c r="AC1" s="139" t="s">
        <v>88</v>
      </c>
      <c r="AD1" s="114" t="s">
        <v>89</v>
      </c>
      <c r="AE1" s="114" t="s">
        <v>90</v>
      </c>
      <c r="AF1" s="114" t="s">
        <v>91</v>
      </c>
    </row>
    <row r="2" spans="1:32" s="116" customFormat="1" ht="120" customHeight="1" x14ac:dyDescent="0.25">
      <c r="A2" s="120" t="s">
        <v>937</v>
      </c>
      <c r="B2" s="120">
        <f>COUNTA(_xlfn.UNIQUE(B3:B677))-1</f>
        <v>82</v>
      </c>
      <c r="C2" s="114"/>
      <c r="D2" s="117" t="s">
        <v>92</v>
      </c>
      <c r="E2" s="117" t="s">
        <v>93</v>
      </c>
      <c r="F2" s="117" t="s">
        <v>94</v>
      </c>
      <c r="G2" s="117" t="s">
        <v>95</v>
      </c>
      <c r="H2" s="117" t="s">
        <v>96</v>
      </c>
      <c r="I2" s="117" t="s">
        <v>97</v>
      </c>
      <c r="J2" s="117" t="s">
        <v>98</v>
      </c>
      <c r="K2" s="117" t="s">
        <v>99</v>
      </c>
      <c r="L2" s="120">
        <f>COUNTA(_xlfn.UNIQUE(L3:L677))-1</f>
        <v>18</v>
      </c>
      <c r="M2" s="120">
        <f>COUNTA(_xlfn.UNIQUE(M3:M677))-1</f>
        <v>30</v>
      </c>
      <c r="N2" s="120" t="str">
        <f>COUNTA(_xlfn.UNIQUE(N3:N677))-1 &amp; " unique of " &amp;COUNTA(N3:N677)</f>
        <v>80 unique of 81</v>
      </c>
      <c r="O2" s="120">
        <f>COUNTA(_xlfn.UNIQUE(O3:O677))-1</f>
        <v>10</v>
      </c>
      <c r="P2" s="117" t="s">
        <v>290</v>
      </c>
      <c r="Q2" s="117" t="s">
        <v>1286</v>
      </c>
      <c r="R2" s="117" t="s">
        <v>1287</v>
      </c>
      <c r="S2" s="117" t="s">
        <v>1288</v>
      </c>
      <c r="T2" s="117" t="s">
        <v>175</v>
      </c>
      <c r="U2" s="117" t="s">
        <v>110</v>
      </c>
      <c r="V2" s="114"/>
      <c r="W2" s="114" t="s">
        <v>100</v>
      </c>
      <c r="X2" s="118" t="s">
        <v>101</v>
      </c>
      <c r="Y2" s="120">
        <f>COUNTA(_xlfn.UNIQUE(Y3:Y677))-1</f>
        <v>2</v>
      </c>
      <c r="Z2" s="118">
        <f>COUNTA(_xlfn.UNIQUE(Z3:Z677))-1</f>
        <v>5</v>
      </c>
      <c r="AA2" s="118">
        <f>COUNTA(_xlfn.UNIQUE(AA3:AA677))-1</f>
        <v>25</v>
      </c>
      <c r="AB2" s="119" t="str">
        <f>COUNTIF(AB3:AB84,"&lt;&gt;") &amp; " (Number indicates duplicated indicator #)"</f>
        <v>0 (Number indicates duplicated indicator #)</v>
      </c>
      <c r="AC2" s="140">
        <f>COUNTA(_xlfn.UNIQUE(AC3:AC677))-1</f>
        <v>32</v>
      </c>
      <c r="AD2" s="120">
        <f>COUNTA(_xlfn.UNIQUE(AD3:AD677))-1</f>
        <v>19</v>
      </c>
      <c r="AE2" s="120">
        <f>COUNTA(_xlfn.UNIQUE(AE3:AE677))-1</f>
        <v>18</v>
      </c>
      <c r="AF2" s="120">
        <f>COUNTA(_xlfn.UNIQUE(AF3:AF677))-1</f>
        <v>28</v>
      </c>
    </row>
    <row r="3" spans="1:32" ht="15" customHeight="1" x14ac:dyDescent="0.25">
      <c r="A3" s="111">
        <v>289</v>
      </c>
      <c r="B3" s="151" t="s">
        <v>219</v>
      </c>
      <c r="C3" s="129" t="s">
        <v>95</v>
      </c>
      <c r="D3" s="129"/>
      <c r="E3" s="129"/>
      <c r="F3" s="129"/>
      <c r="G3" s="129" t="s">
        <v>102</v>
      </c>
      <c r="H3" s="129"/>
      <c r="I3" s="129"/>
      <c r="J3" s="129"/>
      <c r="K3" s="129"/>
      <c r="L3" s="124"/>
      <c r="M3" s="110" t="s">
        <v>210</v>
      </c>
      <c r="N3" s="125" t="s">
        <v>219</v>
      </c>
      <c r="O3" s="122" t="s">
        <v>1289</v>
      </c>
      <c r="P3" s="122" t="s">
        <v>103</v>
      </c>
      <c r="Q3" s="122" t="s">
        <v>102</v>
      </c>
      <c r="R3" s="122" t="s">
        <v>102</v>
      </c>
      <c r="S3" s="122" t="s">
        <v>103</v>
      </c>
      <c r="T3" s="122" t="s">
        <v>103</v>
      </c>
      <c r="U3" s="122" t="s">
        <v>103</v>
      </c>
      <c r="V3" s="129" t="s">
        <v>938</v>
      </c>
      <c r="W3" s="129" t="s">
        <v>939</v>
      </c>
      <c r="X3" s="129" t="s">
        <v>940</v>
      </c>
      <c r="Y3" s="128"/>
      <c r="Z3" s="128"/>
      <c r="AA3" s="126" t="s">
        <v>220</v>
      </c>
      <c r="AB3" s="126"/>
      <c r="AC3" s="122" t="s">
        <v>941</v>
      </c>
      <c r="AD3" s="122" t="s">
        <v>942</v>
      </c>
      <c r="AE3" s="122" t="s">
        <v>943</v>
      </c>
      <c r="AF3" s="130"/>
    </row>
    <row r="4" spans="1:32" ht="15" customHeight="1" x14ac:dyDescent="0.25">
      <c r="A4" s="111">
        <v>290</v>
      </c>
      <c r="B4" s="122" t="str">
        <f t="shared" ref="B4:B13" si="0">N4</f>
        <v>Land and house price</v>
      </c>
      <c r="C4" s="123" t="s">
        <v>95</v>
      </c>
      <c r="D4" s="123"/>
      <c r="E4" s="123"/>
      <c r="F4" s="123"/>
      <c r="G4" s="123" t="s">
        <v>102</v>
      </c>
      <c r="H4" s="123"/>
      <c r="I4" s="123"/>
      <c r="J4" s="123"/>
      <c r="K4" s="123"/>
      <c r="L4" s="124"/>
      <c r="M4" s="110" t="s">
        <v>210</v>
      </c>
      <c r="N4" s="125" t="s">
        <v>223</v>
      </c>
      <c r="O4" s="122" t="s">
        <v>222</v>
      </c>
      <c r="P4" s="122" t="s">
        <v>103</v>
      </c>
      <c r="Q4" s="122" t="s">
        <v>103</v>
      </c>
      <c r="R4" s="122" t="s">
        <v>102</v>
      </c>
      <c r="S4" s="122" t="s">
        <v>103</v>
      </c>
      <c r="T4" s="122" t="s">
        <v>103</v>
      </c>
      <c r="U4" s="122" t="s">
        <v>103</v>
      </c>
      <c r="V4" s="123" t="s">
        <v>944</v>
      </c>
      <c r="W4" s="123" t="s">
        <v>945</v>
      </c>
      <c r="X4" s="123" t="s">
        <v>940</v>
      </c>
      <c r="Y4" s="122"/>
      <c r="Z4" s="122"/>
      <c r="AA4" s="126">
        <v>16</v>
      </c>
      <c r="AB4" s="126"/>
      <c r="AC4" s="122" t="s">
        <v>224</v>
      </c>
      <c r="AD4" s="122" t="s">
        <v>942</v>
      </c>
      <c r="AE4" s="122" t="s">
        <v>946</v>
      </c>
      <c r="AF4" s="122" t="s">
        <v>1278</v>
      </c>
    </row>
    <row r="5" spans="1:32" ht="15" customHeight="1" x14ac:dyDescent="0.25">
      <c r="A5" s="111">
        <v>293</v>
      </c>
      <c r="B5" s="125" t="str">
        <f t="shared" si="0"/>
        <v>Number of days with good air quality</v>
      </c>
      <c r="C5" s="124" t="s">
        <v>94</v>
      </c>
      <c r="D5" s="124"/>
      <c r="E5" s="124"/>
      <c r="F5" s="124" t="s">
        <v>102</v>
      </c>
      <c r="G5" s="124"/>
      <c r="H5" s="124"/>
      <c r="I5" s="124"/>
      <c r="J5" s="124"/>
      <c r="K5" s="124"/>
      <c r="L5" s="123" t="s">
        <v>226</v>
      </c>
      <c r="M5" s="124" t="s">
        <v>227</v>
      </c>
      <c r="N5" s="125" t="s">
        <v>239</v>
      </c>
      <c r="O5" s="122" t="s">
        <v>115</v>
      </c>
      <c r="P5" s="122" t="s">
        <v>103</v>
      </c>
      <c r="Q5" s="122" t="s">
        <v>103</v>
      </c>
      <c r="R5" s="122" t="s">
        <v>102</v>
      </c>
      <c r="S5" s="122" t="s">
        <v>103</v>
      </c>
      <c r="T5" s="122" t="s">
        <v>103</v>
      </c>
      <c r="U5" s="122" t="s">
        <v>103</v>
      </c>
      <c r="V5" s="124" t="s">
        <v>961</v>
      </c>
      <c r="W5" s="124" t="s">
        <v>958</v>
      </c>
      <c r="X5" s="124" t="s">
        <v>959</v>
      </c>
      <c r="Y5" s="125"/>
      <c r="Z5" s="125"/>
      <c r="AA5" s="127" t="s">
        <v>208</v>
      </c>
      <c r="AB5" s="127"/>
      <c r="AC5" s="125" t="s">
        <v>209</v>
      </c>
      <c r="AD5" s="122" t="s">
        <v>956</v>
      </c>
      <c r="AE5" s="124"/>
    </row>
    <row r="6" spans="1:32" ht="15" customHeight="1" x14ac:dyDescent="0.25">
      <c r="A6" s="111">
        <v>292</v>
      </c>
      <c r="B6" s="128" t="str">
        <f t="shared" si="0"/>
        <v>Air quality</v>
      </c>
      <c r="C6" s="129" t="s">
        <v>94</v>
      </c>
      <c r="D6" s="129"/>
      <c r="E6" s="129"/>
      <c r="F6" s="129" t="s">
        <v>102</v>
      </c>
      <c r="G6" s="129"/>
      <c r="H6" s="129"/>
      <c r="I6" s="129"/>
      <c r="J6" s="129"/>
      <c r="K6" s="129"/>
      <c r="L6" s="111" t="s">
        <v>226</v>
      </c>
      <c r="M6" s="124" t="s">
        <v>227</v>
      </c>
      <c r="N6" s="125" t="s">
        <v>228</v>
      </c>
      <c r="O6" s="128" t="s">
        <v>110</v>
      </c>
      <c r="P6" s="128" t="s">
        <v>103</v>
      </c>
      <c r="Q6" s="128" t="s">
        <v>103</v>
      </c>
      <c r="R6" s="128" t="s">
        <v>103</v>
      </c>
      <c r="S6" s="128" t="s">
        <v>103</v>
      </c>
      <c r="T6" s="128" t="s">
        <v>103</v>
      </c>
      <c r="U6" s="128" t="s">
        <v>102</v>
      </c>
      <c r="V6" s="129" t="s">
        <v>947</v>
      </c>
      <c r="W6" s="129" t="s">
        <v>948</v>
      </c>
      <c r="X6" s="129" t="s">
        <v>940</v>
      </c>
      <c r="Y6" s="128">
        <v>2</v>
      </c>
      <c r="Z6" s="128"/>
      <c r="AA6" s="126" t="s">
        <v>229</v>
      </c>
      <c r="AB6" s="126"/>
      <c r="AC6" s="122" t="s">
        <v>230</v>
      </c>
      <c r="AD6" s="122" t="s">
        <v>949</v>
      </c>
      <c r="AE6" s="122"/>
      <c r="AF6" s="110" t="s">
        <v>950</v>
      </c>
    </row>
    <row r="7" spans="1:32" ht="15" customHeight="1" x14ac:dyDescent="0.25">
      <c r="A7" s="111">
        <v>8</v>
      </c>
      <c r="B7" s="122" t="str">
        <f t="shared" si="0"/>
        <v>Good air quality</v>
      </c>
      <c r="C7" s="123" t="s">
        <v>94</v>
      </c>
      <c r="D7" s="123"/>
      <c r="E7" s="123"/>
      <c r="F7" s="123" t="s">
        <v>102</v>
      </c>
      <c r="G7" s="123"/>
      <c r="H7" s="123"/>
      <c r="I7" s="123"/>
      <c r="J7" s="123"/>
      <c r="K7" s="123"/>
      <c r="L7" s="123" t="s">
        <v>226</v>
      </c>
      <c r="M7" s="124" t="s">
        <v>227</v>
      </c>
      <c r="N7" s="125" t="s">
        <v>1341</v>
      </c>
      <c r="O7" s="122" t="s">
        <v>110</v>
      </c>
      <c r="P7" s="122" t="s">
        <v>103</v>
      </c>
      <c r="Q7" s="122" t="s">
        <v>103</v>
      </c>
      <c r="R7" s="122" t="s">
        <v>103</v>
      </c>
      <c r="S7" s="122" t="s">
        <v>103</v>
      </c>
      <c r="T7" s="122" t="s">
        <v>103</v>
      </c>
      <c r="U7" s="122" t="s">
        <v>102</v>
      </c>
      <c r="V7" s="123" t="s">
        <v>951</v>
      </c>
      <c r="W7" s="123" t="s">
        <v>952</v>
      </c>
      <c r="X7" s="123" t="s">
        <v>940</v>
      </c>
      <c r="Y7" s="122"/>
      <c r="Z7" s="122"/>
      <c r="AA7" s="126">
        <v>16</v>
      </c>
      <c r="AB7" s="126"/>
      <c r="AC7" s="122" t="s">
        <v>244</v>
      </c>
      <c r="AD7" s="122" t="s">
        <v>949</v>
      </c>
      <c r="AE7" s="122"/>
    </row>
    <row r="8" spans="1:32" ht="15" customHeight="1" x14ac:dyDescent="0.25">
      <c r="A8" s="111">
        <v>136</v>
      </c>
      <c r="B8" s="122" t="str">
        <f t="shared" si="0"/>
        <v>Annual average nitrogen dioxide (1-e6 mmol/m²)</v>
      </c>
      <c r="C8" s="123" t="s">
        <v>94</v>
      </c>
      <c r="D8" s="123"/>
      <c r="E8" s="123"/>
      <c r="F8" s="123" t="s">
        <v>102</v>
      </c>
      <c r="G8" s="123"/>
      <c r="H8" s="123"/>
      <c r="I8" s="123"/>
      <c r="J8" s="123"/>
      <c r="K8" s="123"/>
      <c r="L8" s="111" t="s">
        <v>226</v>
      </c>
      <c r="M8" s="123" t="s">
        <v>227</v>
      </c>
      <c r="N8" s="125" t="s">
        <v>232</v>
      </c>
      <c r="O8" s="122" t="s">
        <v>231</v>
      </c>
      <c r="P8" s="122" t="s">
        <v>103</v>
      </c>
      <c r="Q8" s="122" t="s">
        <v>103</v>
      </c>
      <c r="R8" s="122" t="s">
        <v>102</v>
      </c>
      <c r="S8" s="122" t="s">
        <v>103</v>
      </c>
      <c r="T8" s="122" t="s">
        <v>103</v>
      </c>
      <c r="U8" s="122" t="s">
        <v>102</v>
      </c>
      <c r="V8" s="123" t="s">
        <v>953</v>
      </c>
      <c r="W8" s="123" t="s">
        <v>954</v>
      </c>
      <c r="X8" s="123" t="s">
        <v>940</v>
      </c>
      <c r="Y8" s="122">
        <v>1</v>
      </c>
      <c r="Z8" s="122"/>
      <c r="AA8" s="126">
        <v>13</v>
      </c>
      <c r="AB8" s="126"/>
      <c r="AC8" s="122" t="s">
        <v>151</v>
      </c>
      <c r="AD8" s="122" t="s">
        <v>233</v>
      </c>
      <c r="AE8" s="122"/>
    </row>
    <row r="9" spans="1:32" ht="15" customHeight="1" x14ac:dyDescent="0.25">
      <c r="A9" s="111">
        <v>173</v>
      </c>
      <c r="B9" s="125" t="str">
        <f t="shared" si="0"/>
        <v>Number of days PM 2.5 exceeds WHO standard (25 µg/m³)</v>
      </c>
      <c r="C9" s="124" t="s">
        <v>94</v>
      </c>
      <c r="D9" s="124"/>
      <c r="E9" s="124"/>
      <c r="F9" s="124" t="s">
        <v>102</v>
      </c>
      <c r="G9" s="124"/>
      <c r="H9" s="124"/>
      <c r="I9" s="124"/>
      <c r="J9" s="124"/>
      <c r="K9" s="124"/>
      <c r="L9" s="124" t="s">
        <v>226</v>
      </c>
      <c r="M9" s="125" t="s">
        <v>227</v>
      </c>
      <c r="N9" s="125" t="s">
        <v>238</v>
      </c>
      <c r="O9" s="125" t="s">
        <v>115</v>
      </c>
      <c r="P9" s="125" t="s">
        <v>103</v>
      </c>
      <c r="Q9" s="125" t="s">
        <v>103</v>
      </c>
      <c r="R9" s="125" t="s">
        <v>102</v>
      </c>
      <c r="S9" s="125" t="s">
        <v>103</v>
      </c>
      <c r="T9" s="125" t="s">
        <v>103</v>
      </c>
      <c r="U9" s="125" t="s">
        <v>103</v>
      </c>
      <c r="V9" s="124" t="s">
        <v>955</v>
      </c>
      <c r="W9" s="124" t="s">
        <v>954</v>
      </c>
      <c r="X9" s="124" t="s">
        <v>940</v>
      </c>
      <c r="Y9" s="125"/>
      <c r="Z9" s="125"/>
      <c r="AA9" s="127">
        <v>13</v>
      </c>
      <c r="AB9" s="127"/>
      <c r="AC9" s="125" t="s">
        <v>151</v>
      </c>
      <c r="AD9" s="122" t="s">
        <v>956</v>
      </c>
      <c r="AE9" s="125"/>
    </row>
    <row r="10" spans="1:32" ht="15" customHeight="1" x14ac:dyDescent="0.25">
      <c r="A10" s="111">
        <v>252</v>
      </c>
      <c r="B10" s="125" t="str">
        <f t="shared" si="0"/>
        <v>Per capita SO2 emissions</v>
      </c>
      <c r="C10" s="124" t="s">
        <v>94</v>
      </c>
      <c r="D10" s="124"/>
      <c r="E10" s="124"/>
      <c r="F10" s="124" t="s">
        <v>102</v>
      </c>
      <c r="G10" s="124"/>
      <c r="H10" s="124"/>
      <c r="I10" s="124"/>
      <c r="J10" s="124"/>
      <c r="K10" s="124"/>
      <c r="L10" s="124" t="s">
        <v>226</v>
      </c>
      <c r="M10" s="125" t="s">
        <v>227</v>
      </c>
      <c r="N10" s="125" t="s">
        <v>240</v>
      </c>
      <c r="O10" s="125" t="s">
        <v>115</v>
      </c>
      <c r="P10" s="125" t="s">
        <v>103</v>
      </c>
      <c r="Q10" s="125" t="s">
        <v>103</v>
      </c>
      <c r="R10" s="125" t="s">
        <v>102</v>
      </c>
      <c r="S10" s="125" t="s">
        <v>103</v>
      </c>
      <c r="T10" s="125" t="s">
        <v>103</v>
      </c>
      <c r="U10" s="125" t="s">
        <v>103</v>
      </c>
      <c r="V10" s="124" t="s">
        <v>957</v>
      </c>
      <c r="W10" s="124" t="s">
        <v>958</v>
      </c>
      <c r="X10" s="124" t="s">
        <v>959</v>
      </c>
      <c r="Y10" s="125"/>
      <c r="Z10" s="125"/>
      <c r="AA10" s="127" t="s">
        <v>241</v>
      </c>
      <c r="AB10" s="127"/>
      <c r="AC10" s="125" t="s">
        <v>242</v>
      </c>
      <c r="AD10" s="124"/>
      <c r="AE10" s="124" t="s">
        <v>960</v>
      </c>
    </row>
    <row r="11" spans="1:32" ht="15" customHeight="1" x14ac:dyDescent="0.25">
      <c r="A11" s="111">
        <v>19</v>
      </c>
      <c r="B11" s="122" t="str">
        <f t="shared" si="0"/>
        <v>Building design</v>
      </c>
      <c r="C11" s="123" t="s">
        <v>93</v>
      </c>
      <c r="D11" s="123"/>
      <c r="E11" s="123" t="s">
        <v>102</v>
      </c>
      <c r="F11" s="123"/>
      <c r="G11" s="123"/>
      <c r="H11" s="123"/>
      <c r="I11" s="123"/>
      <c r="J11" s="123"/>
      <c r="K11" s="123"/>
      <c r="L11" s="123" t="s">
        <v>203</v>
      </c>
      <c r="M11" s="124" t="s">
        <v>248</v>
      </c>
      <c r="N11" s="125" t="s">
        <v>211</v>
      </c>
      <c r="O11" s="122" t="s">
        <v>115</v>
      </c>
      <c r="P11" s="122" t="s">
        <v>103</v>
      </c>
      <c r="Q11" s="122" t="s">
        <v>103</v>
      </c>
      <c r="R11" s="122" t="s">
        <v>102</v>
      </c>
      <c r="S11" s="122" t="s">
        <v>103</v>
      </c>
      <c r="T11" s="122" t="s">
        <v>103</v>
      </c>
      <c r="U11" s="122" t="s">
        <v>103</v>
      </c>
      <c r="V11" s="123" t="s">
        <v>964</v>
      </c>
      <c r="W11" s="123" t="s">
        <v>965</v>
      </c>
      <c r="X11" s="123" t="s">
        <v>940</v>
      </c>
      <c r="Y11" s="122"/>
      <c r="Z11" s="122"/>
      <c r="AA11" s="126">
        <v>23</v>
      </c>
      <c r="AB11" s="126"/>
      <c r="AC11" s="122" t="s">
        <v>250</v>
      </c>
      <c r="AD11" s="124"/>
      <c r="AE11" s="124"/>
      <c r="AF11" s="110" t="s">
        <v>966</v>
      </c>
    </row>
    <row r="12" spans="1:32" ht="15" customHeight="1" x14ac:dyDescent="0.25">
      <c r="A12" s="111">
        <v>22</v>
      </c>
      <c r="B12" s="122" t="str">
        <f t="shared" si="0"/>
        <v>Building height</v>
      </c>
      <c r="C12" s="123" t="s">
        <v>93</v>
      </c>
      <c r="D12" s="123"/>
      <c r="E12" s="123" t="s">
        <v>102</v>
      </c>
      <c r="F12" s="123"/>
      <c r="G12" s="123"/>
      <c r="H12" s="123"/>
      <c r="I12" s="123"/>
      <c r="J12" s="123"/>
      <c r="K12" s="123"/>
      <c r="L12" s="123" t="s">
        <v>203</v>
      </c>
      <c r="M12" s="124" t="s">
        <v>248</v>
      </c>
      <c r="N12" s="125" t="s">
        <v>252</v>
      </c>
      <c r="O12" s="122" t="s">
        <v>115</v>
      </c>
      <c r="P12" s="122" t="s">
        <v>103</v>
      </c>
      <c r="Q12" s="122" t="s">
        <v>103</v>
      </c>
      <c r="R12" s="122" t="s">
        <v>102</v>
      </c>
      <c r="S12" s="122" t="s">
        <v>103</v>
      </c>
      <c r="T12" s="122" t="s">
        <v>103</v>
      </c>
      <c r="U12" s="122" t="s">
        <v>103</v>
      </c>
      <c r="V12" s="123" t="s">
        <v>969</v>
      </c>
      <c r="W12" s="123" t="s">
        <v>970</v>
      </c>
      <c r="X12" s="123" t="s">
        <v>940</v>
      </c>
      <c r="Y12" s="122"/>
      <c r="Z12" s="122"/>
      <c r="AA12" s="126">
        <v>23</v>
      </c>
      <c r="AB12" s="126"/>
      <c r="AC12" s="122" t="s">
        <v>250</v>
      </c>
      <c r="AD12" s="124"/>
      <c r="AE12" s="124"/>
      <c r="AF12" s="110" t="s">
        <v>971</v>
      </c>
    </row>
    <row r="13" spans="1:32" ht="15" customHeight="1" x14ac:dyDescent="0.25">
      <c r="A13" s="111">
        <v>1</v>
      </c>
      <c r="B13" s="125" t="str">
        <f t="shared" si="0"/>
        <v>Public services</v>
      </c>
      <c r="C13" s="124" t="s">
        <v>97</v>
      </c>
      <c r="D13" s="124"/>
      <c r="E13" s="124"/>
      <c r="F13" s="124"/>
      <c r="G13" s="124"/>
      <c r="H13" s="124"/>
      <c r="I13" s="124" t="s">
        <v>102</v>
      </c>
      <c r="J13" s="124"/>
      <c r="K13" s="124"/>
      <c r="L13" s="124" t="s">
        <v>199</v>
      </c>
      <c r="M13" s="125" t="s">
        <v>273</v>
      </c>
      <c r="N13" s="125" t="s">
        <v>293</v>
      </c>
      <c r="O13" s="125" t="s">
        <v>285</v>
      </c>
      <c r="P13" s="125" t="s">
        <v>103</v>
      </c>
      <c r="Q13" s="125">
        <v>500</v>
      </c>
      <c r="R13" s="125" t="s">
        <v>103</v>
      </c>
      <c r="S13" s="125" t="s">
        <v>103</v>
      </c>
      <c r="T13" s="125" t="s">
        <v>103</v>
      </c>
      <c r="U13" s="125" t="s">
        <v>102</v>
      </c>
      <c r="V13" s="124" t="s">
        <v>978</v>
      </c>
      <c r="W13" s="124" t="s">
        <v>979</v>
      </c>
      <c r="X13" s="124" t="s">
        <v>959</v>
      </c>
      <c r="Y13" s="125"/>
      <c r="Z13" s="125"/>
      <c r="AA13" s="127">
        <v>8</v>
      </c>
      <c r="AB13" s="127"/>
      <c r="AC13" s="125" t="s">
        <v>174</v>
      </c>
      <c r="AD13" s="124"/>
      <c r="AE13" s="124"/>
      <c r="AF13" s="125" t="s">
        <v>1279</v>
      </c>
    </row>
    <row r="14" spans="1:32" ht="15" customHeight="1" x14ac:dyDescent="0.25">
      <c r="A14" s="111">
        <v>46</v>
      </c>
      <c r="B14" s="125" t="str">
        <f t="shared" ref="B14:B21" si="1">"Access to "&amp;LOWER(N14)</f>
        <v>Access to community centres</v>
      </c>
      <c r="C14" s="124" t="s">
        <v>97</v>
      </c>
      <c r="D14" s="124"/>
      <c r="E14" s="124"/>
      <c r="F14" s="124"/>
      <c r="G14" s="124"/>
      <c r="H14" s="124"/>
      <c r="I14" s="124" t="s">
        <v>102</v>
      </c>
      <c r="J14" s="124"/>
      <c r="K14" s="124"/>
      <c r="L14" s="124" t="s">
        <v>272</v>
      </c>
      <c r="M14" s="125" t="s">
        <v>273</v>
      </c>
      <c r="N14" s="125" t="s">
        <v>274</v>
      </c>
      <c r="O14" s="125" t="s">
        <v>285</v>
      </c>
      <c r="P14" s="125" t="s">
        <v>102</v>
      </c>
      <c r="Q14" s="125">
        <v>500</v>
      </c>
      <c r="R14" s="125" t="s">
        <v>102</v>
      </c>
      <c r="S14" s="125" t="s">
        <v>102</v>
      </c>
      <c r="T14" s="125" t="s">
        <v>103</v>
      </c>
      <c r="U14" s="125" t="s">
        <v>103</v>
      </c>
      <c r="V14" s="124" t="s">
        <v>972</v>
      </c>
      <c r="W14" s="124" t="s">
        <v>973</v>
      </c>
      <c r="X14" s="124" t="s">
        <v>940</v>
      </c>
      <c r="Y14" s="125">
        <v>1</v>
      </c>
      <c r="Z14" s="125" t="s">
        <v>1329</v>
      </c>
      <c r="AA14" s="127">
        <v>22</v>
      </c>
      <c r="AB14" s="127"/>
      <c r="AC14" s="125" t="s">
        <v>974</v>
      </c>
      <c r="AD14" s="124" t="s">
        <v>975</v>
      </c>
      <c r="AE14" s="124"/>
      <c r="AF14" s="125"/>
    </row>
    <row r="15" spans="1:32" ht="15" customHeight="1" x14ac:dyDescent="0.25">
      <c r="A15" s="111">
        <v>394</v>
      </c>
      <c r="B15" s="125" t="str">
        <f t="shared" si="1"/>
        <v>Access to youth centres</v>
      </c>
      <c r="C15" s="129" t="s">
        <v>97</v>
      </c>
      <c r="D15" s="129"/>
      <c r="E15" s="129"/>
      <c r="F15" s="129"/>
      <c r="G15" s="129"/>
      <c r="H15" s="129"/>
      <c r="I15" s="129" t="s">
        <v>102</v>
      </c>
      <c r="J15" s="129"/>
      <c r="K15" s="129"/>
      <c r="L15" s="129" t="s">
        <v>272</v>
      </c>
      <c r="M15" s="128" t="s">
        <v>273</v>
      </c>
      <c r="N15" s="128" t="s">
        <v>277</v>
      </c>
      <c r="O15" s="128" t="s">
        <v>115</v>
      </c>
      <c r="P15" s="128" t="s">
        <v>102</v>
      </c>
      <c r="Q15" s="125">
        <v>500</v>
      </c>
      <c r="R15" s="128" t="s">
        <v>102</v>
      </c>
      <c r="S15" s="128" t="s">
        <v>102</v>
      </c>
      <c r="T15" s="128" t="s">
        <v>103</v>
      </c>
      <c r="U15" s="128" t="s">
        <v>103</v>
      </c>
      <c r="V15" s="111" t="s">
        <v>976</v>
      </c>
      <c r="W15" s="111" t="s">
        <v>977</v>
      </c>
      <c r="X15" s="111" t="s">
        <v>940</v>
      </c>
      <c r="Y15" s="110"/>
      <c r="Z15" s="110" t="s">
        <v>1329</v>
      </c>
      <c r="AA15" s="126">
        <v>13</v>
      </c>
      <c r="AB15" s="126"/>
      <c r="AC15" s="122" t="s">
        <v>151</v>
      </c>
      <c r="AD15" s="124" t="s">
        <v>975</v>
      </c>
      <c r="AE15" s="122"/>
      <c r="AF15" s="130"/>
    </row>
    <row r="16" spans="1:32" ht="15" customHeight="1" x14ac:dyDescent="0.25">
      <c r="A16" s="111">
        <v>11</v>
      </c>
      <c r="B16" s="125" t="str">
        <f t="shared" si="1"/>
        <v>Access to bakery</v>
      </c>
      <c r="C16" s="133" t="s">
        <v>96</v>
      </c>
      <c r="D16" s="133"/>
      <c r="E16" s="133"/>
      <c r="F16" s="133"/>
      <c r="G16" s="133"/>
      <c r="H16" s="133" t="s">
        <v>102</v>
      </c>
      <c r="I16" s="133" t="s">
        <v>102</v>
      </c>
      <c r="J16" s="133"/>
      <c r="K16" s="133"/>
      <c r="L16" s="133" t="s">
        <v>367</v>
      </c>
      <c r="M16" s="132" t="s">
        <v>381</v>
      </c>
      <c r="N16" s="132" t="s">
        <v>843</v>
      </c>
      <c r="O16" s="132" t="s">
        <v>115</v>
      </c>
      <c r="P16" s="132" t="s">
        <v>102</v>
      </c>
      <c r="Q16" s="125">
        <v>500</v>
      </c>
      <c r="R16" s="132" t="s">
        <v>102</v>
      </c>
      <c r="S16" s="132" t="s">
        <v>102</v>
      </c>
      <c r="T16" s="132" t="s">
        <v>103</v>
      </c>
      <c r="U16" s="132" t="s">
        <v>103</v>
      </c>
      <c r="V16" s="133" t="s">
        <v>980</v>
      </c>
      <c r="W16" s="133" t="s">
        <v>981</v>
      </c>
      <c r="X16" s="133" t="s">
        <v>940</v>
      </c>
      <c r="Y16" s="132"/>
      <c r="Z16" s="132" t="s">
        <v>1329</v>
      </c>
      <c r="AA16" s="134">
        <v>16</v>
      </c>
      <c r="AB16" s="134"/>
      <c r="AC16" s="132" t="s">
        <v>244</v>
      </c>
      <c r="AD16" s="124" t="s">
        <v>975</v>
      </c>
      <c r="AE16" s="125" t="s">
        <v>982</v>
      </c>
      <c r="AF16" s="132"/>
    </row>
    <row r="17" spans="1:33" ht="15" customHeight="1" x14ac:dyDescent="0.25">
      <c r="A17" s="111">
        <v>129</v>
      </c>
      <c r="B17" s="125" t="str">
        <f t="shared" si="1"/>
        <v>Access to markets</v>
      </c>
      <c r="C17" s="133" t="s">
        <v>96</v>
      </c>
      <c r="D17" s="133"/>
      <c r="E17" s="133"/>
      <c r="F17" s="133"/>
      <c r="G17" s="133"/>
      <c r="H17" s="133" t="s">
        <v>102</v>
      </c>
      <c r="I17" s="133" t="s">
        <v>102</v>
      </c>
      <c r="J17" s="133"/>
      <c r="K17" s="133"/>
      <c r="L17" s="133" t="s">
        <v>367</v>
      </c>
      <c r="M17" s="132" t="s">
        <v>381</v>
      </c>
      <c r="N17" s="132" t="s">
        <v>368</v>
      </c>
      <c r="O17" s="132" t="s">
        <v>115</v>
      </c>
      <c r="P17" s="132" t="s">
        <v>102</v>
      </c>
      <c r="Q17" s="125">
        <v>500</v>
      </c>
      <c r="R17" s="132" t="s">
        <v>102</v>
      </c>
      <c r="S17" s="132" t="s">
        <v>102</v>
      </c>
      <c r="T17" s="132" t="s">
        <v>103</v>
      </c>
      <c r="U17" s="132" t="s">
        <v>103</v>
      </c>
      <c r="V17" s="133" t="s">
        <v>983</v>
      </c>
      <c r="W17" s="133" t="s">
        <v>984</v>
      </c>
      <c r="X17" s="133" t="s">
        <v>940</v>
      </c>
      <c r="Y17" s="132"/>
      <c r="Z17" s="132" t="s">
        <v>1329</v>
      </c>
      <c r="AA17" s="134">
        <v>16</v>
      </c>
      <c r="AB17" s="134"/>
      <c r="AC17" s="132" t="s">
        <v>244</v>
      </c>
      <c r="AD17" s="124" t="s">
        <v>975</v>
      </c>
      <c r="AE17" s="125"/>
      <c r="AF17" s="132" t="s">
        <v>985</v>
      </c>
    </row>
    <row r="18" spans="1:33" ht="15" customHeight="1" x14ac:dyDescent="0.25">
      <c r="A18" s="111">
        <v>132</v>
      </c>
      <c r="B18" s="122" t="str">
        <f t="shared" si="1"/>
        <v>Access to minimarts</v>
      </c>
      <c r="C18" s="124" t="s">
        <v>96</v>
      </c>
      <c r="D18" s="123"/>
      <c r="E18" s="123"/>
      <c r="F18" s="123"/>
      <c r="G18" s="123"/>
      <c r="H18" s="123" t="s">
        <v>102</v>
      </c>
      <c r="I18" s="123"/>
      <c r="J18" s="123"/>
      <c r="K18" s="123"/>
      <c r="L18" s="125" t="s">
        <v>367</v>
      </c>
      <c r="M18" s="122" t="s">
        <v>381</v>
      </c>
      <c r="N18" s="125" t="s">
        <v>383</v>
      </c>
      <c r="O18" s="122" t="s">
        <v>115</v>
      </c>
      <c r="P18" s="122" t="s">
        <v>102</v>
      </c>
      <c r="Q18" s="125">
        <v>500</v>
      </c>
      <c r="R18" s="122" t="s">
        <v>102</v>
      </c>
      <c r="S18" s="122" t="s">
        <v>102</v>
      </c>
      <c r="T18" s="122" t="s">
        <v>103</v>
      </c>
      <c r="U18" s="122" t="s">
        <v>103</v>
      </c>
      <c r="V18" s="123" t="s">
        <v>986</v>
      </c>
      <c r="W18" s="123" t="s">
        <v>987</v>
      </c>
      <c r="X18" s="123" t="s">
        <v>940</v>
      </c>
      <c r="Y18" s="135"/>
      <c r="Z18" s="122" t="s">
        <v>1329</v>
      </c>
      <c r="AA18" s="126">
        <v>13</v>
      </c>
      <c r="AB18" s="126"/>
      <c r="AC18" s="122" t="s">
        <v>151</v>
      </c>
      <c r="AD18" s="124" t="s">
        <v>975</v>
      </c>
      <c r="AE18" s="124" t="s">
        <v>1280</v>
      </c>
      <c r="AF18" s="122"/>
    </row>
    <row r="19" spans="1:33" ht="15" customHeight="1" x14ac:dyDescent="0.25">
      <c r="A19" s="111">
        <v>232</v>
      </c>
      <c r="B19" s="125" t="str">
        <f t="shared" si="1"/>
        <v>Access to restaurants</v>
      </c>
      <c r="C19" s="133" t="s">
        <v>96</v>
      </c>
      <c r="D19" s="133"/>
      <c r="E19" s="133"/>
      <c r="F19" s="133"/>
      <c r="G19" s="133"/>
      <c r="H19" s="133" t="s">
        <v>102</v>
      </c>
      <c r="I19" s="133" t="s">
        <v>102</v>
      </c>
      <c r="J19" s="133"/>
      <c r="K19" s="133"/>
      <c r="L19" s="133" t="s">
        <v>367</v>
      </c>
      <c r="M19" s="122" t="s">
        <v>381</v>
      </c>
      <c r="N19" s="132" t="s">
        <v>339</v>
      </c>
      <c r="O19" s="132" t="s">
        <v>115</v>
      </c>
      <c r="P19" s="132" t="s">
        <v>102</v>
      </c>
      <c r="Q19" s="125">
        <v>500</v>
      </c>
      <c r="R19" s="132" t="s">
        <v>102</v>
      </c>
      <c r="S19" s="132" t="s">
        <v>102</v>
      </c>
      <c r="T19" s="132" t="s">
        <v>103</v>
      </c>
      <c r="U19" s="132" t="s">
        <v>103</v>
      </c>
      <c r="V19" s="133" t="s">
        <v>991</v>
      </c>
      <c r="W19" s="133" t="s">
        <v>992</v>
      </c>
      <c r="X19" s="133" t="s">
        <v>940</v>
      </c>
      <c r="Y19" s="132"/>
      <c r="Z19" s="132" t="s">
        <v>1329</v>
      </c>
      <c r="AA19" s="134">
        <v>16</v>
      </c>
      <c r="AB19" s="134"/>
      <c r="AC19" s="132" t="s">
        <v>244</v>
      </c>
      <c r="AD19" s="124" t="s">
        <v>993</v>
      </c>
      <c r="AE19" s="125"/>
      <c r="AF19" s="132"/>
    </row>
    <row r="20" spans="1:33" ht="15" customHeight="1" x14ac:dyDescent="0.25">
      <c r="A20" s="111">
        <v>367</v>
      </c>
      <c r="B20" s="125" t="str">
        <f t="shared" si="1"/>
        <v>Access to supermarket</v>
      </c>
      <c r="C20" s="133" t="s">
        <v>96</v>
      </c>
      <c r="D20" s="133"/>
      <c r="E20" s="133"/>
      <c r="F20" s="133"/>
      <c r="G20" s="133"/>
      <c r="H20" s="133" t="s">
        <v>102</v>
      </c>
      <c r="I20" s="133" t="s">
        <v>102</v>
      </c>
      <c r="J20" s="133"/>
      <c r="K20" s="133"/>
      <c r="L20" s="133" t="s">
        <v>367</v>
      </c>
      <c r="M20" s="122" t="s">
        <v>381</v>
      </c>
      <c r="N20" s="132" t="s">
        <v>847</v>
      </c>
      <c r="O20" s="132" t="s">
        <v>115</v>
      </c>
      <c r="P20" s="132" t="s">
        <v>102</v>
      </c>
      <c r="Q20" s="125">
        <v>500</v>
      </c>
      <c r="R20" s="132" t="s">
        <v>102</v>
      </c>
      <c r="S20" s="132" t="s">
        <v>102</v>
      </c>
      <c r="T20" s="132" t="s">
        <v>103</v>
      </c>
      <c r="U20" s="132" t="s">
        <v>103</v>
      </c>
      <c r="V20" s="133" t="s">
        <v>994</v>
      </c>
      <c r="W20" s="133" t="s">
        <v>977</v>
      </c>
      <c r="X20" s="133" t="s">
        <v>940</v>
      </c>
      <c r="Y20" s="132"/>
      <c r="Z20" s="132" t="s">
        <v>1329</v>
      </c>
      <c r="AA20" s="134">
        <v>13</v>
      </c>
      <c r="AB20" s="134"/>
      <c r="AC20" s="132" t="s">
        <v>151</v>
      </c>
      <c r="AD20" s="124" t="s">
        <v>993</v>
      </c>
      <c r="AE20" s="125" t="s">
        <v>995</v>
      </c>
      <c r="AF20" s="148" t="s">
        <v>996</v>
      </c>
    </row>
    <row r="21" spans="1:33" ht="15" customHeight="1" x14ac:dyDescent="0.25">
      <c r="A21" s="111">
        <v>169</v>
      </c>
      <c r="B21" s="125" t="str">
        <f t="shared" si="1"/>
        <v>Access to petrol station (&gt;= 250m away)</v>
      </c>
      <c r="C21" s="124" t="s">
        <v>96</v>
      </c>
      <c r="D21" s="124"/>
      <c r="E21" s="124"/>
      <c r="F21" s="124"/>
      <c r="G21" s="124"/>
      <c r="H21" s="124" t="s">
        <v>102</v>
      </c>
      <c r="I21" s="124"/>
      <c r="J21" s="124"/>
      <c r="K21" s="124"/>
      <c r="L21" s="125" t="s">
        <v>194</v>
      </c>
      <c r="M21" s="125" t="s">
        <v>381</v>
      </c>
      <c r="N21" s="125" t="s">
        <v>1325</v>
      </c>
      <c r="O21" s="122" t="s">
        <v>290</v>
      </c>
      <c r="P21" s="122" t="s">
        <v>102</v>
      </c>
      <c r="Q21" s="122" t="s">
        <v>1337</v>
      </c>
      <c r="R21" s="122" t="s">
        <v>102</v>
      </c>
      <c r="S21" s="122" t="s">
        <v>102</v>
      </c>
      <c r="T21" s="122" t="s">
        <v>103</v>
      </c>
      <c r="U21" s="122" t="s">
        <v>103</v>
      </c>
      <c r="V21" s="124" t="s">
        <v>988</v>
      </c>
      <c r="W21" s="124" t="s">
        <v>989</v>
      </c>
      <c r="X21" s="124" t="s">
        <v>940</v>
      </c>
      <c r="Y21" s="136"/>
      <c r="Z21" s="125" t="s">
        <v>1329</v>
      </c>
      <c r="AA21" s="127">
        <v>18</v>
      </c>
      <c r="AB21" s="127"/>
      <c r="AC21" s="125" t="s">
        <v>292</v>
      </c>
      <c r="AD21" s="124" t="s">
        <v>990</v>
      </c>
      <c r="AE21" s="124" t="s">
        <v>1281</v>
      </c>
      <c r="AF21" s="125"/>
    </row>
    <row r="22" spans="1:33" ht="15" customHeight="1" x14ac:dyDescent="0.25">
      <c r="A22" s="111">
        <v>296</v>
      </c>
      <c r="B22" s="125" t="str">
        <f>N22</f>
        <v>Crime?</v>
      </c>
      <c r="C22" s="124" t="s">
        <v>92</v>
      </c>
      <c r="D22" s="124" t="s">
        <v>102</v>
      </c>
      <c r="E22" s="124"/>
      <c r="F22" s="124"/>
      <c r="G22" s="124"/>
      <c r="H22" s="124"/>
      <c r="I22" s="124"/>
      <c r="J22" s="124"/>
      <c r="K22" s="124"/>
      <c r="L22" s="124" t="s">
        <v>109</v>
      </c>
      <c r="M22" s="125" t="s">
        <v>168</v>
      </c>
      <c r="N22" s="125" t="s">
        <v>1327</v>
      </c>
      <c r="O22" s="125" t="s">
        <v>285</v>
      </c>
      <c r="P22" s="125" t="s">
        <v>103</v>
      </c>
      <c r="Q22" s="125" t="s">
        <v>102</v>
      </c>
      <c r="R22" s="125" t="s">
        <v>103</v>
      </c>
      <c r="S22" s="125" t="s">
        <v>103</v>
      </c>
      <c r="T22" s="125" t="s">
        <v>103</v>
      </c>
      <c r="U22" s="125" t="s">
        <v>103</v>
      </c>
      <c r="V22" s="124" t="s">
        <v>997</v>
      </c>
      <c r="W22" s="124" t="s">
        <v>998</v>
      </c>
      <c r="X22" s="124" t="s">
        <v>959</v>
      </c>
      <c r="Y22" s="136"/>
      <c r="Z22" s="125"/>
      <c r="AA22" s="127">
        <v>8</v>
      </c>
      <c r="AB22" s="127"/>
      <c r="AC22" s="125" t="s">
        <v>174</v>
      </c>
      <c r="AD22" s="125"/>
      <c r="AE22" s="125"/>
      <c r="AF22" s="125" t="s">
        <v>1282</v>
      </c>
    </row>
    <row r="23" spans="1:33" ht="15" customHeight="1" x14ac:dyDescent="0.25">
      <c r="A23" s="111">
        <v>121</v>
      </c>
      <c r="B23" s="122" t="str">
        <f>"Access to "&amp;LOWER(N23)</f>
        <v>Access to libraries</v>
      </c>
      <c r="C23" s="123" t="s">
        <v>97</v>
      </c>
      <c r="D23" s="123"/>
      <c r="E23" s="123"/>
      <c r="F23" s="123"/>
      <c r="G23" s="123"/>
      <c r="H23" s="123"/>
      <c r="I23" s="123" t="s">
        <v>102</v>
      </c>
      <c r="J23" s="123"/>
      <c r="K23" s="123"/>
      <c r="L23" s="123" t="s">
        <v>272</v>
      </c>
      <c r="M23" s="122" t="s">
        <v>307</v>
      </c>
      <c r="N23" s="122" t="s">
        <v>320</v>
      </c>
      <c r="O23" s="122" t="s">
        <v>290</v>
      </c>
      <c r="P23" s="122" t="s">
        <v>102</v>
      </c>
      <c r="Q23" s="125">
        <v>1000</v>
      </c>
      <c r="R23" s="122" t="s">
        <v>102</v>
      </c>
      <c r="S23" s="122" t="s">
        <v>102</v>
      </c>
      <c r="T23" s="122" t="s">
        <v>103</v>
      </c>
      <c r="U23" s="122" t="s">
        <v>103</v>
      </c>
      <c r="V23" s="123" t="s">
        <v>999</v>
      </c>
      <c r="W23" s="123" t="s">
        <v>1000</v>
      </c>
      <c r="X23" s="123" t="s">
        <v>940</v>
      </c>
      <c r="Y23" s="122"/>
      <c r="Z23" s="122" t="s">
        <v>1329</v>
      </c>
      <c r="AA23" s="126">
        <v>18</v>
      </c>
      <c r="AB23" s="126"/>
      <c r="AC23" s="122" t="s">
        <v>292</v>
      </c>
      <c r="AD23" s="124" t="s">
        <v>975</v>
      </c>
      <c r="AE23" s="122"/>
      <c r="AF23" s="122"/>
    </row>
    <row r="24" spans="1:33" ht="15" customHeight="1" x14ac:dyDescent="0.25">
      <c r="A24" s="111">
        <v>228</v>
      </c>
      <c r="B24" s="122" t="str">
        <f>"Access to "&amp;LOWER(N24)</f>
        <v>Access to religious buildings</v>
      </c>
      <c r="C24" s="123" t="s">
        <v>97</v>
      </c>
      <c r="D24" s="123"/>
      <c r="E24" s="123"/>
      <c r="F24" s="123"/>
      <c r="G24" s="123"/>
      <c r="H24" s="123"/>
      <c r="I24" s="123" t="s">
        <v>102</v>
      </c>
      <c r="J24" s="123"/>
      <c r="K24" s="123"/>
      <c r="L24" s="132" t="s">
        <v>310</v>
      </c>
      <c r="M24" s="122" t="s">
        <v>307</v>
      </c>
      <c r="N24" s="122" t="s">
        <v>337</v>
      </c>
      <c r="O24" s="122" t="s">
        <v>290</v>
      </c>
      <c r="P24" s="122" t="s">
        <v>102</v>
      </c>
      <c r="Q24" s="125">
        <v>500</v>
      </c>
      <c r="R24" s="122" t="s">
        <v>102</v>
      </c>
      <c r="S24" s="122" t="s">
        <v>102</v>
      </c>
      <c r="T24" s="122" t="s">
        <v>103</v>
      </c>
      <c r="U24" s="122" t="s">
        <v>103</v>
      </c>
      <c r="V24" s="123" t="s">
        <v>1001</v>
      </c>
      <c r="W24" s="123" t="s">
        <v>1002</v>
      </c>
      <c r="X24" s="123" t="s">
        <v>940</v>
      </c>
      <c r="Y24" s="122"/>
      <c r="Z24" s="122" t="s">
        <v>1329</v>
      </c>
      <c r="AA24" s="126">
        <v>20</v>
      </c>
      <c r="AB24" s="126"/>
      <c r="AC24" s="122" t="s">
        <v>355</v>
      </c>
      <c r="AD24" s="124" t="s">
        <v>975</v>
      </c>
      <c r="AE24" s="124"/>
      <c r="AF24" s="122"/>
    </row>
    <row r="25" spans="1:33" ht="15" customHeight="1" x14ac:dyDescent="0.25">
      <c r="A25" s="111">
        <v>58</v>
      </c>
      <c r="B25" s="124" t="str">
        <f>"Access to "&amp;LOWER(N25)</f>
        <v>Access to cultural centers</v>
      </c>
      <c r="C25" s="133" t="s">
        <v>97</v>
      </c>
      <c r="D25" s="133"/>
      <c r="E25" s="133"/>
      <c r="F25" s="133"/>
      <c r="G25" s="133"/>
      <c r="H25" s="133"/>
      <c r="I25" s="133" t="s">
        <v>102</v>
      </c>
      <c r="J25" s="133"/>
      <c r="K25" s="133"/>
      <c r="L25" s="133" t="s">
        <v>272</v>
      </c>
      <c r="M25" s="132" t="s">
        <v>307</v>
      </c>
      <c r="N25" s="132" t="s">
        <v>1324</v>
      </c>
      <c r="O25" s="132" t="s">
        <v>115</v>
      </c>
      <c r="P25" s="132" t="s">
        <v>102</v>
      </c>
      <c r="Q25" s="125">
        <v>1000</v>
      </c>
      <c r="R25" s="132" t="s">
        <v>102</v>
      </c>
      <c r="S25" s="132" t="s">
        <v>102</v>
      </c>
      <c r="T25" s="132" t="s">
        <v>103</v>
      </c>
      <c r="U25" s="132" t="s">
        <v>103</v>
      </c>
      <c r="V25" s="133" t="s">
        <v>1003</v>
      </c>
      <c r="W25" s="133" t="s">
        <v>1004</v>
      </c>
      <c r="X25" s="133" t="s">
        <v>940</v>
      </c>
      <c r="Y25" s="132"/>
      <c r="Z25" s="132" t="s">
        <v>1329</v>
      </c>
      <c r="AA25" s="134">
        <v>16</v>
      </c>
      <c r="AB25" s="134"/>
      <c r="AC25" s="132" t="s">
        <v>244</v>
      </c>
      <c r="AD25" s="124" t="s">
        <v>975</v>
      </c>
      <c r="AE25" s="124"/>
      <c r="AF25" s="122" t="s">
        <v>1005</v>
      </c>
    </row>
    <row r="26" spans="1:33" ht="15" customHeight="1" x14ac:dyDescent="0.25">
      <c r="A26" s="111">
        <v>134</v>
      </c>
      <c r="B26" s="122" t="str">
        <f>"Access to "&amp;LOWER(N26)</f>
        <v>Access to museums</v>
      </c>
      <c r="C26" s="123" t="s">
        <v>97</v>
      </c>
      <c r="D26" s="123"/>
      <c r="E26" s="123"/>
      <c r="F26" s="123"/>
      <c r="G26" s="123"/>
      <c r="H26" s="123"/>
      <c r="I26" s="123" t="s">
        <v>102</v>
      </c>
      <c r="J26" s="123"/>
      <c r="K26" s="123"/>
      <c r="L26" s="123" t="s">
        <v>272</v>
      </c>
      <c r="M26" s="122" t="s">
        <v>307</v>
      </c>
      <c r="N26" s="122" t="s">
        <v>329</v>
      </c>
      <c r="O26" s="122" t="s">
        <v>115</v>
      </c>
      <c r="P26" s="122" t="s">
        <v>102</v>
      </c>
      <c r="Q26" s="122">
        <v>1000</v>
      </c>
      <c r="R26" s="122" t="s">
        <v>102</v>
      </c>
      <c r="S26" s="122" t="s">
        <v>102</v>
      </c>
      <c r="T26" s="122" t="s">
        <v>103</v>
      </c>
      <c r="U26" s="122" t="s">
        <v>103</v>
      </c>
      <c r="V26" s="123" t="s">
        <v>1006</v>
      </c>
      <c r="W26" s="123" t="s">
        <v>977</v>
      </c>
      <c r="X26" s="123" t="s">
        <v>940</v>
      </c>
      <c r="Y26" s="122"/>
      <c r="Z26" s="122" t="s">
        <v>1329</v>
      </c>
      <c r="AA26" s="126">
        <v>13</v>
      </c>
      <c r="AB26" s="126"/>
      <c r="AC26" s="122" t="s">
        <v>151</v>
      </c>
      <c r="AD26" s="124" t="s">
        <v>975</v>
      </c>
      <c r="AE26" s="122"/>
      <c r="AF26" s="122" t="s">
        <v>1005</v>
      </c>
    </row>
    <row r="27" spans="1:33" ht="15" customHeight="1" x14ac:dyDescent="0.25">
      <c r="A27" s="111">
        <v>61</v>
      </c>
      <c r="B27" s="122" t="str">
        <f t="shared" ref="B27:B34" si="2">N27</f>
        <v>Cycling infrastructure</v>
      </c>
      <c r="C27" s="123" t="s">
        <v>99</v>
      </c>
      <c r="D27" s="123"/>
      <c r="E27" s="123"/>
      <c r="F27" s="123"/>
      <c r="G27" s="123"/>
      <c r="H27" s="123"/>
      <c r="I27" s="123"/>
      <c r="J27" s="123"/>
      <c r="K27" s="123" t="s">
        <v>102</v>
      </c>
      <c r="L27" s="123" t="s">
        <v>390</v>
      </c>
      <c r="M27" s="122" t="s">
        <v>391</v>
      </c>
      <c r="N27" s="122" t="s">
        <v>391</v>
      </c>
      <c r="O27" s="122" t="s">
        <v>285</v>
      </c>
      <c r="P27" s="122" t="s">
        <v>103</v>
      </c>
      <c r="Q27" s="122" t="s">
        <v>102</v>
      </c>
      <c r="R27" s="122" t="s">
        <v>103</v>
      </c>
      <c r="S27" s="122" t="s">
        <v>103</v>
      </c>
      <c r="T27" s="122" t="s">
        <v>103</v>
      </c>
      <c r="U27" s="122" t="s">
        <v>103</v>
      </c>
      <c r="V27" s="123" t="s">
        <v>1007</v>
      </c>
      <c r="W27" s="123" t="s">
        <v>1008</v>
      </c>
      <c r="X27" s="123" t="s">
        <v>1009</v>
      </c>
      <c r="Y27" s="122"/>
      <c r="Z27" s="122"/>
      <c r="AA27" s="126">
        <v>27</v>
      </c>
      <c r="AB27" s="126"/>
      <c r="AC27" s="122"/>
      <c r="AD27" s="122" t="s">
        <v>1010</v>
      </c>
      <c r="AE27" s="122" t="s">
        <v>1011</v>
      </c>
      <c r="AF27" s="122"/>
    </row>
    <row r="28" spans="1:33" ht="15" customHeight="1" x14ac:dyDescent="0.25">
      <c r="A28" s="111">
        <v>338</v>
      </c>
      <c r="B28" s="125" t="str">
        <f t="shared" si="2"/>
        <v>Dwelling density</v>
      </c>
      <c r="C28" s="123" t="s">
        <v>98</v>
      </c>
      <c r="D28" s="123"/>
      <c r="E28" s="123"/>
      <c r="F28" s="123"/>
      <c r="G28" s="123"/>
      <c r="H28" s="123"/>
      <c r="I28" s="123"/>
      <c r="J28" s="123" t="s">
        <v>102</v>
      </c>
      <c r="K28" s="123"/>
      <c r="L28" s="123" t="s">
        <v>141</v>
      </c>
      <c r="M28" s="122" t="s">
        <v>395</v>
      </c>
      <c r="N28" s="122" t="s">
        <v>1328</v>
      </c>
      <c r="O28" s="122" t="s">
        <v>124</v>
      </c>
      <c r="P28" s="122" t="s">
        <v>103</v>
      </c>
      <c r="Q28" s="122" t="s">
        <v>103</v>
      </c>
      <c r="R28" s="122" t="s">
        <v>103</v>
      </c>
      <c r="S28" s="122" t="s">
        <v>102</v>
      </c>
      <c r="T28" s="122" t="s">
        <v>103</v>
      </c>
      <c r="U28" s="122" t="s">
        <v>103</v>
      </c>
      <c r="V28" s="123" t="s">
        <v>1014</v>
      </c>
      <c r="W28" s="123" t="s">
        <v>1012</v>
      </c>
      <c r="X28" s="123" t="s">
        <v>940</v>
      </c>
      <c r="Y28" s="122"/>
      <c r="Z28" s="122"/>
      <c r="AA28" s="126" t="s">
        <v>808</v>
      </c>
      <c r="AB28" s="126"/>
      <c r="AC28" s="122" t="s">
        <v>809</v>
      </c>
      <c r="AD28" s="124" t="s">
        <v>1013</v>
      </c>
      <c r="AE28" s="122"/>
      <c r="AF28" s="122"/>
    </row>
    <row r="29" spans="1:33" ht="15" customHeight="1" x14ac:dyDescent="0.25">
      <c r="A29" s="111">
        <v>340</v>
      </c>
      <c r="B29" s="125" t="str">
        <f t="shared" si="2"/>
        <v>Population density</v>
      </c>
      <c r="C29" s="124" t="s">
        <v>98</v>
      </c>
      <c r="D29" s="124"/>
      <c r="E29" s="124"/>
      <c r="F29" s="124"/>
      <c r="G29" s="124"/>
      <c r="H29" s="124"/>
      <c r="I29" s="124"/>
      <c r="J29" s="124" t="s">
        <v>102</v>
      </c>
      <c r="K29" s="124"/>
      <c r="L29" s="124" t="s">
        <v>135</v>
      </c>
      <c r="M29" s="122" t="s">
        <v>395</v>
      </c>
      <c r="N29" s="132" t="s">
        <v>857</v>
      </c>
      <c r="O29" s="125" t="s">
        <v>124</v>
      </c>
      <c r="P29" s="125" t="s">
        <v>103</v>
      </c>
      <c r="Q29" s="125" t="s">
        <v>103</v>
      </c>
      <c r="R29" s="125" t="s">
        <v>103</v>
      </c>
      <c r="S29" s="125" t="s">
        <v>102</v>
      </c>
      <c r="T29" s="125" t="s">
        <v>103</v>
      </c>
      <c r="U29" s="125" t="s">
        <v>103</v>
      </c>
      <c r="V29" s="124" t="s">
        <v>1015</v>
      </c>
      <c r="W29" s="124" t="s">
        <v>1016</v>
      </c>
      <c r="X29" s="124" t="s">
        <v>1017</v>
      </c>
      <c r="Y29" s="125"/>
      <c r="Z29" s="125"/>
      <c r="AA29" s="127" t="s">
        <v>858</v>
      </c>
      <c r="AB29" s="127"/>
      <c r="AC29" s="125" t="s">
        <v>859</v>
      </c>
      <c r="AD29" s="124" t="s">
        <v>1013</v>
      </c>
      <c r="AE29" s="124"/>
      <c r="AG29" s="110" t="s">
        <v>1018</v>
      </c>
    </row>
    <row r="30" spans="1:33" ht="15" customHeight="1" x14ac:dyDescent="0.25">
      <c r="A30" s="111">
        <v>112</v>
      </c>
      <c r="B30" s="125" t="str">
        <f t="shared" si="2"/>
        <v>Jobs</v>
      </c>
      <c r="C30" s="133" t="s">
        <v>96</v>
      </c>
      <c r="D30" s="133"/>
      <c r="E30" s="133"/>
      <c r="F30" s="133"/>
      <c r="G30" s="133"/>
      <c r="H30" s="133" t="s">
        <v>102</v>
      </c>
      <c r="I30" s="133"/>
      <c r="J30" s="133"/>
      <c r="K30" s="133"/>
      <c r="L30" s="133"/>
      <c r="M30" s="132" t="s">
        <v>123</v>
      </c>
      <c r="N30" s="132" t="s">
        <v>841</v>
      </c>
      <c r="O30" s="132" t="s">
        <v>179</v>
      </c>
      <c r="P30" s="132" t="s">
        <v>103</v>
      </c>
      <c r="Q30" s="132" t="s">
        <v>103</v>
      </c>
      <c r="R30" s="132" t="s">
        <v>102</v>
      </c>
      <c r="S30" s="132" t="s">
        <v>103</v>
      </c>
      <c r="T30" s="132" t="s">
        <v>103</v>
      </c>
      <c r="U30" s="132" t="s">
        <v>103</v>
      </c>
      <c r="V30" s="133" t="s">
        <v>1020</v>
      </c>
      <c r="W30" s="133" t="s">
        <v>973</v>
      </c>
      <c r="X30" s="133" t="s">
        <v>940</v>
      </c>
      <c r="Y30" s="132"/>
      <c r="Z30" s="132"/>
      <c r="AA30" s="134">
        <v>22</v>
      </c>
      <c r="AB30" s="134"/>
      <c r="AC30" s="132" t="s">
        <v>1021</v>
      </c>
      <c r="AD30" s="125"/>
      <c r="AE30" s="125" t="s">
        <v>1022</v>
      </c>
      <c r="AF30" s="132"/>
    </row>
    <row r="31" spans="1:33" ht="15" customHeight="1" x14ac:dyDescent="0.25">
      <c r="A31" s="111">
        <v>325</v>
      </c>
      <c r="B31" s="125" t="str">
        <f t="shared" si="2"/>
        <v>Fire incidence rate by population</v>
      </c>
      <c r="C31" s="124" t="s">
        <v>1023</v>
      </c>
      <c r="D31" s="124" t="s">
        <v>102</v>
      </c>
      <c r="E31" s="124"/>
      <c r="F31" s="124" t="s">
        <v>102</v>
      </c>
      <c r="G31" s="124"/>
      <c r="H31" s="124"/>
      <c r="I31" s="124"/>
      <c r="J31" s="124"/>
      <c r="K31" s="124"/>
      <c r="L31" s="124" t="s">
        <v>226</v>
      </c>
      <c r="M31" s="124" t="s">
        <v>439</v>
      </c>
      <c r="N31" s="124" t="s">
        <v>442</v>
      </c>
      <c r="O31" s="125" t="s">
        <v>115</v>
      </c>
      <c r="P31" s="125" t="s">
        <v>103</v>
      </c>
      <c r="Q31" s="125" t="s">
        <v>103</v>
      </c>
      <c r="R31" s="125" t="s">
        <v>102</v>
      </c>
      <c r="S31" s="125" t="s">
        <v>103</v>
      </c>
      <c r="T31" s="125" t="s">
        <v>103</v>
      </c>
      <c r="U31" s="125" t="s">
        <v>103</v>
      </c>
      <c r="V31" s="124" t="s">
        <v>1024</v>
      </c>
      <c r="W31" s="124" t="s">
        <v>1025</v>
      </c>
      <c r="X31" s="124" t="s">
        <v>963</v>
      </c>
      <c r="Y31" s="125">
        <v>2</v>
      </c>
      <c r="Z31" s="110"/>
      <c r="AA31" s="127">
        <v>17</v>
      </c>
      <c r="AB31" s="127"/>
      <c r="AC31" s="125" t="s">
        <v>188</v>
      </c>
      <c r="AD31" s="124"/>
      <c r="AE31" s="124" t="s">
        <v>1026</v>
      </c>
    </row>
    <row r="32" spans="1:33" ht="15" customHeight="1" x14ac:dyDescent="0.25">
      <c r="A32" s="111">
        <v>71</v>
      </c>
      <c r="B32" s="125" t="str">
        <f t="shared" si="2"/>
        <v>Flooding</v>
      </c>
      <c r="C32" s="124" t="s">
        <v>94</v>
      </c>
      <c r="D32" s="124"/>
      <c r="E32" s="124"/>
      <c r="F32" s="124" t="s">
        <v>102</v>
      </c>
      <c r="G32" s="124"/>
      <c r="H32" s="124"/>
      <c r="I32" s="124"/>
      <c r="J32" s="124"/>
      <c r="K32" s="124"/>
      <c r="L32" s="124" t="s">
        <v>226</v>
      </c>
      <c r="M32" s="125" t="s">
        <v>444</v>
      </c>
      <c r="N32" s="124" t="s">
        <v>444</v>
      </c>
      <c r="O32" s="125" t="s">
        <v>285</v>
      </c>
      <c r="P32" s="125" t="s">
        <v>103</v>
      </c>
      <c r="Q32" s="125"/>
      <c r="R32" s="125" t="s">
        <v>102</v>
      </c>
      <c r="S32" s="125" t="s">
        <v>103</v>
      </c>
      <c r="T32" s="125" t="s">
        <v>103</v>
      </c>
      <c r="U32" s="125" t="s">
        <v>103</v>
      </c>
      <c r="V32" s="124" t="s">
        <v>1027</v>
      </c>
      <c r="W32" s="124" t="s">
        <v>1028</v>
      </c>
      <c r="X32" s="124" t="s">
        <v>963</v>
      </c>
      <c r="Y32" s="125">
        <v>1</v>
      </c>
      <c r="Z32" s="110"/>
      <c r="AA32" s="127">
        <v>22</v>
      </c>
      <c r="AB32" s="127"/>
      <c r="AC32" s="125" t="s">
        <v>112</v>
      </c>
      <c r="AD32" s="124" t="s">
        <v>447</v>
      </c>
      <c r="AE32" s="124"/>
    </row>
    <row r="33" spans="1:32" ht="15" customHeight="1" x14ac:dyDescent="0.25">
      <c r="A33" s="111">
        <v>326</v>
      </c>
      <c r="B33" s="125" t="str">
        <f t="shared" si="2"/>
        <v>Flooding - annual average days for main roads</v>
      </c>
      <c r="C33" s="124" t="s">
        <v>94</v>
      </c>
      <c r="D33" s="124"/>
      <c r="E33" s="124"/>
      <c r="F33" s="124" t="s">
        <v>102</v>
      </c>
      <c r="G33" s="124"/>
      <c r="H33" s="124"/>
      <c r="I33" s="124"/>
      <c r="J33" s="124"/>
      <c r="K33" s="124"/>
      <c r="L33" s="124" t="s">
        <v>226</v>
      </c>
      <c r="M33" s="124" t="s">
        <v>444</v>
      </c>
      <c r="N33" s="124" t="s">
        <v>1315</v>
      </c>
      <c r="O33" s="125" t="s">
        <v>115</v>
      </c>
      <c r="P33" s="125" t="s">
        <v>103</v>
      </c>
      <c r="Q33" s="125" t="s">
        <v>103</v>
      </c>
      <c r="R33" s="125" t="s">
        <v>102</v>
      </c>
      <c r="S33" s="125" t="s">
        <v>103</v>
      </c>
      <c r="T33" s="125" t="s">
        <v>103</v>
      </c>
      <c r="U33" s="125" t="s">
        <v>103</v>
      </c>
      <c r="V33" s="124" t="s">
        <v>1031</v>
      </c>
      <c r="W33" s="124" t="s">
        <v>1030</v>
      </c>
      <c r="X33" s="124" t="s">
        <v>940</v>
      </c>
      <c r="Y33" s="125">
        <v>2</v>
      </c>
      <c r="Z33" s="110"/>
      <c r="AA33" s="127">
        <v>13</v>
      </c>
      <c r="AB33" s="127"/>
      <c r="AC33" s="125" t="s">
        <v>151</v>
      </c>
      <c r="AD33" s="124"/>
      <c r="AE33" s="124"/>
    </row>
    <row r="34" spans="1:32" ht="15" customHeight="1" x14ac:dyDescent="0.25">
      <c r="A34" s="111">
        <v>72</v>
      </c>
      <c r="B34" s="125" t="str">
        <f t="shared" si="2"/>
        <v>Flooding - main roads</v>
      </c>
      <c r="C34" s="124" t="s">
        <v>94</v>
      </c>
      <c r="D34" s="124"/>
      <c r="E34" s="124"/>
      <c r="F34" s="124" t="s">
        <v>102</v>
      </c>
      <c r="G34" s="124"/>
      <c r="H34" s="124"/>
      <c r="I34" s="124"/>
      <c r="J34" s="124"/>
      <c r="K34" s="124"/>
      <c r="L34" s="124" t="s">
        <v>226</v>
      </c>
      <c r="M34" s="125" t="s">
        <v>444</v>
      </c>
      <c r="N34" s="124" t="s">
        <v>1314</v>
      </c>
      <c r="O34" s="125" t="s">
        <v>115</v>
      </c>
      <c r="P34" s="125" t="s">
        <v>103</v>
      </c>
      <c r="Q34" s="125" t="s">
        <v>103</v>
      </c>
      <c r="R34" s="125" t="s">
        <v>102</v>
      </c>
      <c r="S34" s="125" t="s">
        <v>103</v>
      </c>
      <c r="T34" s="125" t="s">
        <v>103</v>
      </c>
      <c r="U34" s="125" t="s">
        <v>103</v>
      </c>
      <c r="V34" s="124" t="s">
        <v>1029</v>
      </c>
      <c r="W34" s="124" t="s">
        <v>1030</v>
      </c>
      <c r="X34" s="124" t="s">
        <v>940</v>
      </c>
      <c r="Y34" s="125">
        <v>1</v>
      </c>
      <c r="Z34" s="110"/>
      <c r="AA34" s="127">
        <v>13</v>
      </c>
      <c r="AB34" s="127"/>
      <c r="AC34" s="125" t="s">
        <v>151</v>
      </c>
      <c r="AD34" s="124" t="s">
        <v>447</v>
      </c>
      <c r="AE34" s="124"/>
    </row>
    <row r="35" spans="1:32" ht="15" customHeight="1" x14ac:dyDescent="0.25">
      <c r="A35" s="111">
        <v>170</v>
      </c>
      <c r="B35" s="125" t="str">
        <f>"Access to "&amp;LOWER(N35)</f>
        <v>Access to pharmacies</v>
      </c>
      <c r="C35" s="124" t="s">
        <v>97</v>
      </c>
      <c r="D35" s="124"/>
      <c r="E35" s="124"/>
      <c r="F35" s="124"/>
      <c r="G35" s="124"/>
      <c r="H35" s="124"/>
      <c r="I35" s="124" t="s">
        <v>102</v>
      </c>
      <c r="J35" s="124"/>
      <c r="K35" s="124"/>
      <c r="L35" s="124" t="s">
        <v>172</v>
      </c>
      <c r="M35" s="125" t="s">
        <v>451</v>
      </c>
      <c r="N35" s="124" t="s">
        <v>466</v>
      </c>
      <c r="O35" s="125" t="s">
        <v>124</v>
      </c>
      <c r="P35" s="125" t="s">
        <v>102</v>
      </c>
      <c r="Q35" s="125">
        <v>1000</v>
      </c>
      <c r="R35" s="125" t="s">
        <v>102</v>
      </c>
      <c r="S35" s="125" t="s">
        <v>1320</v>
      </c>
      <c r="T35" s="125" t="s">
        <v>103</v>
      </c>
      <c r="U35" s="125" t="s">
        <v>103</v>
      </c>
      <c r="V35" s="124" t="s">
        <v>1037</v>
      </c>
      <c r="W35" s="124" t="s">
        <v>1038</v>
      </c>
      <c r="X35" s="124" t="s">
        <v>1039</v>
      </c>
      <c r="Y35" s="125"/>
      <c r="Z35" s="110" t="s">
        <v>1329</v>
      </c>
      <c r="AA35" s="127">
        <v>5</v>
      </c>
      <c r="AB35" s="127"/>
      <c r="AC35" s="125" t="s">
        <v>157</v>
      </c>
      <c r="AD35" s="124" t="s">
        <v>975</v>
      </c>
      <c r="AE35" s="124"/>
    </row>
    <row r="36" spans="1:32" ht="15" customHeight="1" x14ac:dyDescent="0.25">
      <c r="A36" s="111">
        <v>97</v>
      </c>
      <c r="B36" s="125" t="str">
        <f>"Access to "&amp;LOWER(N36)</f>
        <v>Access to health centres</v>
      </c>
      <c r="C36" s="124" t="s">
        <v>97</v>
      </c>
      <c r="D36" s="124"/>
      <c r="E36" s="124"/>
      <c r="F36" s="124"/>
      <c r="G36" s="124"/>
      <c r="H36" s="124"/>
      <c r="I36" s="124" t="s">
        <v>102</v>
      </c>
      <c r="J36" s="124"/>
      <c r="K36" s="124"/>
      <c r="L36" s="124" t="s">
        <v>172</v>
      </c>
      <c r="M36" s="125" t="s">
        <v>451</v>
      </c>
      <c r="N36" s="125" t="s">
        <v>452</v>
      </c>
      <c r="O36" s="125" t="s">
        <v>290</v>
      </c>
      <c r="P36" s="125" t="s">
        <v>102</v>
      </c>
      <c r="Q36" s="125">
        <v>1000</v>
      </c>
      <c r="R36" s="125" t="s">
        <v>102</v>
      </c>
      <c r="S36" s="125" t="s">
        <v>102</v>
      </c>
      <c r="T36" s="125" t="s">
        <v>103</v>
      </c>
      <c r="U36" s="125" t="s">
        <v>103</v>
      </c>
      <c r="V36" s="124" t="s">
        <v>1032</v>
      </c>
      <c r="W36" s="124" t="s">
        <v>1033</v>
      </c>
      <c r="X36" s="124" t="s">
        <v>940</v>
      </c>
      <c r="Y36" s="125"/>
      <c r="Z36" s="110" t="s">
        <v>1329</v>
      </c>
      <c r="AA36" s="127" t="s">
        <v>454</v>
      </c>
      <c r="AB36" s="127"/>
      <c r="AC36" s="125" t="s">
        <v>455</v>
      </c>
      <c r="AD36" s="124" t="s">
        <v>975</v>
      </c>
      <c r="AE36" s="125" t="s">
        <v>1034</v>
      </c>
    </row>
    <row r="37" spans="1:32" ht="15" customHeight="1" x14ac:dyDescent="0.25">
      <c r="A37" s="111">
        <v>101</v>
      </c>
      <c r="B37" s="122" t="str">
        <f>"Access to "&amp;LOWER(N37)</f>
        <v>Access to hospitals</v>
      </c>
      <c r="C37" s="123" t="s">
        <v>97</v>
      </c>
      <c r="D37" s="123"/>
      <c r="E37" s="123"/>
      <c r="F37" s="123"/>
      <c r="G37" s="123"/>
      <c r="H37" s="123"/>
      <c r="I37" s="123" t="s">
        <v>102</v>
      </c>
      <c r="J37" s="123"/>
      <c r="K37" s="123"/>
      <c r="L37" s="124" t="s">
        <v>172</v>
      </c>
      <c r="M37" s="125" t="s">
        <v>451</v>
      </c>
      <c r="N37" s="122" t="s">
        <v>459</v>
      </c>
      <c r="O37" s="122" t="s">
        <v>179</v>
      </c>
      <c r="P37" s="122" t="s">
        <v>102</v>
      </c>
      <c r="Q37" s="122">
        <v>2000</v>
      </c>
      <c r="R37" s="122" t="s">
        <v>102</v>
      </c>
      <c r="S37" s="122" t="s">
        <v>102</v>
      </c>
      <c r="T37" s="122" t="s">
        <v>103</v>
      </c>
      <c r="U37" s="122" t="s">
        <v>103</v>
      </c>
      <c r="V37" s="123" t="s">
        <v>1035</v>
      </c>
      <c r="W37" s="123" t="s">
        <v>998</v>
      </c>
      <c r="X37" s="123" t="s">
        <v>959</v>
      </c>
      <c r="Y37" s="122"/>
      <c r="Z37" s="110" t="s">
        <v>1329</v>
      </c>
      <c r="AA37" s="126">
        <v>8</v>
      </c>
      <c r="AB37" s="126"/>
      <c r="AC37" s="122" t="s">
        <v>174</v>
      </c>
      <c r="AD37" s="124" t="s">
        <v>975</v>
      </c>
      <c r="AE37" s="122" t="s">
        <v>1036</v>
      </c>
    </row>
    <row r="38" spans="1:32" ht="15" customHeight="1" x14ac:dyDescent="0.25">
      <c r="A38" s="111">
        <v>382</v>
      </c>
      <c r="B38" s="125" t="str">
        <f>N38</f>
        <v>Urban heat island</v>
      </c>
      <c r="C38" s="123" t="s">
        <v>94</v>
      </c>
      <c r="D38" s="123"/>
      <c r="E38" s="123"/>
      <c r="F38" s="123" t="s">
        <v>102</v>
      </c>
      <c r="G38" s="123"/>
      <c r="H38" s="123"/>
      <c r="I38" s="123"/>
      <c r="J38" s="123"/>
      <c r="K38" s="123"/>
      <c r="L38" s="123" t="s">
        <v>226</v>
      </c>
      <c r="M38" s="125" t="s">
        <v>474</v>
      </c>
      <c r="N38" s="124" t="s">
        <v>475</v>
      </c>
      <c r="O38" s="125" t="s">
        <v>115</v>
      </c>
      <c r="P38" s="125" t="s">
        <v>103</v>
      </c>
      <c r="Q38" s="125" t="s">
        <v>103</v>
      </c>
      <c r="R38" s="125" t="s">
        <v>102</v>
      </c>
      <c r="S38" s="125" t="s">
        <v>103</v>
      </c>
      <c r="T38" s="125" t="s">
        <v>103</v>
      </c>
      <c r="U38" s="125" t="s">
        <v>103</v>
      </c>
      <c r="V38" s="124" t="s">
        <v>1040</v>
      </c>
      <c r="W38" s="124" t="s">
        <v>1041</v>
      </c>
      <c r="X38" s="124" t="s">
        <v>940</v>
      </c>
      <c r="Y38" s="125"/>
      <c r="Z38" s="110"/>
      <c r="AA38" s="127">
        <v>18</v>
      </c>
      <c r="AB38" s="127"/>
      <c r="AC38" s="125" t="s">
        <v>292</v>
      </c>
      <c r="AD38" s="124"/>
      <c r="AE38" s="124"/>
      <c r="AF38" s="110" t="s">
        <v>1042</v>
      </c>
    </row>
    <row r="39" spans="1:32" ht="15" customHeight="1" x14ac:dyDescent="0.25">
      <c r="A39" s="111">
        <v>127</v>
      </c>
      <c r="B39" s="122" t="str">
        <f>"Access to "&amp;LOWER(N39)</f>
        <v>Access to manufacturing district / centre</v>
      </c>
      <c r="C39" s="123" t="s">
        <v>96</v>
      </c>
      <c r="D39" s="123"/>
      <c r="E39" s="123"/>
      <c r="F39" s="123"/>
      <c r="G39" s="123"/>
      <c r="H39" s="123" t="s">
        <v>102</v>
      </c>
      <c r="I39" s="123"/>
      <c r="J39" s="123"/>
      <c r="K39" s="123"/>
      <c r="L39" s="123" t="s">
        <v>120</v>
      </c>
      <c r="M39" s="125" t="s">
        <v>1043</v>
      </c>
      <c r="N39" s="122" t="s">
        <v>482</v>
      </c>
      <c r="O39" s="122" t="s">
        <v>290</v>
      </c>
      <c r="P39" s="122" t="s">
        <v>102</v>
      </c>
      <c r="Q39" s="122" t="s">
        <v>136</v>
      </c>
      <c r="R39" s="122" t="s">
        <v>102</v>
      </c>
      <c r="S39" s="122" t="s">
        <v>102</v>
      </c>
      <c r="T39" s="122" t="s">
        <v>103</v>
      </c>
      <c r="U39" s="122" t="s">
        <v>103</v>
      </c>
      <c r="V39" s="123" t="s">
        <v>1044</v>
      </c>
      <c r="W39" s="123" t="s">
        <v>1045</v>
      </c>
      <c r="X39" s="123" t="s">
        <v>940</v>
      </c>
      <c r="Y39" s="122"/>
      <c r="Z39" s="122" t="s">
        <v>1329</v>
      </c>
      <c r="AA39" s="126">
        <v>20</v>
      </c>
      <c r="AB39" s="126"/>
      <c r="AC39" s="122" t="s">
        <v>355</v>
      </c>
      <c r="AD39" s="122" t="s">
        <v>1046</v>
      </c>
      <c r="AE39" s="122" t="s">
        <v>1284</v>
      </c>
      <c r="AF39" s="122" t="s">
        <v>1283</v>
      </c>
    </row>
    <row r="40" spans="1:32" ht="15" customHeight="1" x14ac:dyDescent="0.25">
      <c r="A40" s="111">
        <v>405</v>
      </c>
      <c r="B40" s="122" t="str">
        <f t="shared" ref="B40:B45" si="3">N40</f>
        <v>Land use type</v>
      </c>
      <c r="C40" s="124" t="s">
        <v>94</v>
      </c>
      <c r="D40" s="123"/>
      <c r="E40" s="123"/>
      <c r="F40" s="123" t="s">
        <v>102</v>
      </c>
      <c r="G40" s="123"/>
      <c r="H40" s="123"/>
      <c r="I40" s="123"/>
      <c r="J40" s="123"/>
      <c r="K40" s="123"/>
      <c r="L40" s="124" t="s">
        <v>194</v>
      </c>
      <c r="M40" s="122" t="s">
        <v>493</v>
      </c>
      <c r="N40" s="122" t="s">
        <v>494</v>
      </c>
      <c r="O40" s="122" t="s">
        <v>110</v>
      </c>
      <c r="P40" s="122" t="s">
        <v>103</v>
      </c>
      <c r="Q40" s="122" t="s">
        <v>103</v>
      </c>
      <c r="R40" s="122" t="s">
        <v>103</v>
      </c>
      <c r="S40" s="122" t="s">
        <v>103</v>
      </c>
      <c r="T40" s="122" t="s">
        <v>103</v>
      </c>
      <c r="U40" s="122" t="s">
        <v>102</v>
      </c>
      <c r="V40" s="123"/>
      <c r="W40" s="123"/>
      <c r="X40" s="123"/>
      <c r="Y40" s="135"/>
      <c r="Z40" s="122"/>
      <c r="AA40" s="126">
        <v>28</v>
      </c>
      <c r="AB40" s="126"/>
      <c r="AC40" s="122"/>
      <c r="AD40" s="122" t="s">
        <v>1049</v>
      </c>
      <c r="AE40" s="124"/>
      <c r="AF40" s="122" t="s">
        <v>1050</v>
      </c>
    </row>
    <row r="41" spans="1:32" ht="15" customHeight="1" x14ac:dyDescent="0.25">
      <c r="A41" s="111">
        <v>385</v>
      </c>
      <c r="B41" s="122" t="str">
        <f t="shared" si="3"/>
        <v>Vegetation</v>
      </c>
      <c r="C41" s="123" t="s">
        <v>94</v>
      </c>
      <c r="D41" s="123"/>
      <c r="E41" s="123"/>
      <c r="F41" s="123" t="s">
        <v>102</v>
      </c>
      <c r="G41" s="123"/>
      <c r="H41" s="123"/>
      <c r="I41" s="123"/>
      <c r="J41" s="123"/>
      <c r="K41" s="123"/>
      <c r="L41" s="123" t="s">
        <v>194</v>
      </c>
      <c r="M41" s="122" t="s">
        <v>493</v>
      </c>
      <c r="N41" s="122" t="s">
        <v>757</v>
      </c>
      <c r="O41" s="122" t="s">
        <v>115</v>
      </c>
      <c r="P41" s="122" t="s">
        <v>103</v>
      </c>
      <c r="Q41" s="122" t="s">
        <v>103</v>
      </c>
      <c r="R41" s="122" t="s">
        <v>102</v>
      </c>
      <c r="S41" s="122" t="s">
        <v>103</v>
      </c>
      <c r="T41" s="122" t="s">
        <v>103</v>
      </c>
      <c r="U41" s="122" t="s">
        <v>103</v>
      </c>
      <c r="V41" s="122" t="s">
        <v>1047</v>
      </c>
      <c r="W41" s="122" t="s">
        <v>1028</v>
      </c>
      <c r="X41" s="122" t="s">
        <v>1048</v>
      </c>
      <c r="Y41" s="122"/>
      <c r="Z41" s="122"/>
      <c r="AA41" s="126">
        <v>28</v>
      </c>
      <c r="AB41" s="126"/>
      <c r="AC41" s="122" t="s">
        <v>496</v>
      </c>
      <c r="AD41" s="122"/>
      <c r="AE41" s="122"/>
      <c r="AF41" s="122"/>
    </row>
    <row r="42" spans="1:32" ht="15" customHeight="1" x14ac:dyDescent="0.25">
      <c r="A42" s="111">
        <v>116</v>
      </c>
      <c r="B42" s="125" t="str">
        <f t="shared" si="3"/>
        <v>Land use mix</v>
      </c>
      <c r="C42" s="124" t="s">
        <v>93</v>
      </c>
      <c r="D42" s="124"/>
      <c r="E42" s="124" t="s">
        <v>102</v>
      </c>
      <c r="F42" s="124"/>
      <c r="G42" s="124"/>
      <c r="H42" s="124"/>
      <c r="I42" s="124"/>
      <c r="J42" s="124"/>
      <c r="K42" s="124"/>
      <c r="L42" s="124" t="s">
        <v>203</v>
      </c>
      <c r="M42" s="125" t="s">
        <v>379</v>
      </c>
      <c r="N42" s="132" t="s">
        <v>509</v>
      </c>
      <c r="O42" s="125" t="s">
        <v>110</v>
      </c>
      <c r="P42" s="125" t="s">
        <v>103</v>
      </c>
      <c r="Q42" s="125" t="s">
        <v>103</v>
      </c>
      <c r="R42" s="125" t="s">
        <v>103</v>
      </c>
      <c r="S42" s="125" t="s">
        <v>103</v>
      </c>
      <c r="T42" s="125" t="s">
        <v>103</v>
      </c>
      <c r="U42" s="125" t="s">
        <v>102</v>
      </c>
      <c r="V42" s="124" t="s">
        <v>1052</v>
      </c>
      <c r="W42" s="124" t="s">
        <v>1053</v>
      </c>
      <c r="X42" s="124" t="s">
        <v>1053</v>
      </c>
      <c r="Y42" s="125"/>
      <c r="Z42" s="125"/>
      <c r="AA42" s="127">
        <v>30</v>
      </c>
      <c r="AB42" s="127"/>
      <c r="AC42" s="125" t="s">
        <v>511</v>
      </c>
      <c r="AD42" s="122" t="s">
        <v>1049</v>
      </c>
      <c r="AE42" s="124"/>
    </row>
    <row r="43" spans="1:32" ht="15" customHeight="1" x14ac:dyDescent="0.25">
      <c r="A43" s="111">
        <v>230</v>
      </c>
      <c r="B43" s="128" t="str">
        <f t="shared" si="3"/>
        <v>Residential area</v>
      </c>
      <c r="C43" s="129" t="s">
        <v>93</v>
      </c>
      <c r="D43" s="129"/>
      <c r="E43" s="129" t="s">
        <v>102</v>
      </c>
      <c r="F43" s="129"/>
      <c r="G43" s="129"/>
      <c r="H43" s="129"/>
      <c r="I43" s="129"/>
      <c r="J43" s="129"/>
      <c r="K43" s="129"/>
      <c r="L43" s="124" t="s">
        <v>203</v>
      </c>
      <c r="M43" s="122" t="s">
        <v>379</v>
      </c>
      <c r="N43" s="132" t="s">
        <v>529</v>
      </c>
      <c r="O43" s="128" t="s">
        <v>124</v>
      </c>
      <c r="P43" s="128" t="s">
        <v>103</v>
      </c>
      <c r="Q43" s="128" t="s">
        <v>103</v>
      </c>
      <c r="R43" s="128" t="s">
        <v>103</v>
      </c>
      <c r="S43" s="128" t="s">
        <v>102</v>
      </c>
      <c r="T43" s="128" t="s">
        <v>103</v>
      </c>
      <c r="U43" s="128" t="s">
        <v>103</v>
      </c>
      <c r="V43" s="123" t="s">
        <v>1056</v>
      </c>
      <c r="W43" s="123" t="s">
        <v>1057</v>
      </c>
      <c r="X43" s="123" t="s">
        <v>940</v>
      </c>
      <c r="Y43" s="122"/>
      <c r="Z43" s="122"/>
      <c r="AA43" s="126">
        <v>16</v>
      </c>
      <c r="AB43" s="126"/>
      <c r="AC43" s="122" t="s">
        <v>244</v>
      </c>
      <c r="AD43" s="122" t="s">
        <v>1049</v>
      </c>
      <c r="AE43" s="122"/>
      <c r="AF43" s="122" t="s">
        <v>1050</v>
      </c>
    </row>
    <row r="44" spans="1:32" ht="15" customHeight="1" x14ac:dyDescent="0.25">
      <c r="A44" s="111">
        <v>167</v>
      </c>
      <c r="B44" s="125" t="str">
        <f t="shared" si="3"/>
        <v>Pedestrian infrastructure</v>
      </c>
      <c r="C44" s="124" t="s">
        <v>99</v>
      </c>
      <c r="D44" s="124"/>
      <c r="E44" s="124"/>
      <c r="F44" s="124"/>
      <c r="G44" s="124"/>
      <c r="H44" s="124"/>
      <c r="I44" s="124"/>
      <c r="J44" s="124"/>
      <c r="K44" s="124" t="s">
        <v>102</v>
      </c>
      <c r="L44" s="124" t="s">
        <v>390</v>
      </c>
      <c r="M44" s="125" t="s">
        <v>546</v>
      </c>
      <c r="N44" s="132" t="s">
        <v>547</v>
      </c>
      <c r="O44" s="125" t="s">
        <v>285</v>
      </c>
      <c r="P44" s="125" t="s">
        <v>103</v>
      </c>
      <c r="Q44" s="125" t="s">
        <v>102</v>
      </c>
      <c r="R44" s="125" t="s">
        <v>103</v>
      </c>
      <c r="S44" s="125" t="s">
        <v>103</v>
      </c>
      <c r="T44" s="125" t="s">
        <v>103</v>
      </c>
      <c r="U44" s="125" t="s">
        <v>103</v>
      </c>
      <c r="V44" s="124" t="s">
        <v>1063</v>
      </c>
      <c r="W44" s="124" t="s">
        <v>1064</v>
      </c>
      <c r="X44" s="124" t="s">
        <v>1065</v>
      </c>
      <c r="Y44" s="125"/>
      <c r="Z44" s="125"/>
      <c r="AA44" s="127">
        <v>27</v>
      </c>
      <c r="AB44" s="127"/>
      <c r="AC44" s="125"/>
      <c r="AD44" s="124" t="s">
        <v>1066</v>
      </c>
      <c r="AE44" s="124"/>
    </row>
    <row r="45" spans="1:32" ht="15" customHeight="1" x14ac:dyDescent="0.25">
      <c r="A45" s="111">
        <v>365</v>
      </c>
      <c r="B45" s="125" t="str">
        <f t="shared" si="3"/>
        <v>Street light infrastructure</v>
      </c>
      <c r="C45" s="124" t="s">
        <v>92</v>
      </c>
      <c r="D45" s="124" t="s">
        <v>102</v>
      </c>
      <c r="E45" s="124"/>
      <c r="F45" s="124"/>
      <c r="G45" s="124"/>
      <c r="H45" s="124"/>
      <c r="I45" s="124"/>
      <c r="J45" s="124"/>
      <c r="K45" s="124"/>
      <c r="L45" s="123" t="s">
        <v>104</v>
      </c>
      <c r="M45" s="125" t="s">
        <v>546</v>
      </c>
      <c r="N45" s="125" t="s">
        <v>555</v>
      </c>
      <c r="O45" s="125" t="s">
        <v>110</v>
      </c>
      <c r="P45" s="125" t="s">
        <v>103</v>
      </c>
      <c r="Q45" s="125" t="s">
        <v>103</v>
      </c>
      <c r="R45" s="125" t="s">
        <v>103</v>
      </c>
      <c r="S45" s="125" t="s">
        <v>103</v>
      </c>
      <c r="T45" s="125" t="s">
        <v>103</v>
      </c>
      <c r="U45" s="125" t="s">
        <v>102</v>
      </c>
      <c r="V45" s="124" t="s">
        <v>1071</v>
      </c>
      <c r="W45" s="124" t="s">
        <v>1054</v>
      </c>
      <c r="X45" s="124" t="s">
        <v>963</v>
      </c>
      <c r="Y45" s="125">
        <v>1</v>
      </c>
      <c r="Z45" s="125" t="s">
        <v>1072</v>
      </c>
      <c r="AA45" s="127">
        <v>23</v>
      </c>
      <c r="AB45" s="127"/>
      <c r="AC45" s="125" t="s">
        <v>205</v>
      </c>
      <c r="AD45" s="125" t="s">
        <v>1066</v>
      </c>
      <c r="AE45" s="125"/>
      <c r="AF45" s="110" t="s">
        <v>1317</v>
      </c>
    </row>
    <row r="46" spans="1:32" ht="15" customHeight="1" x14ac:dyDescent="0.25">
      <c r="A46" s="111">
        <v>75</v>
      </c>
      <c r="B46" s="122" t="s">
        <v>1331</v>
      </c>
      <c r="C46" s="123" t="s">
        <v>92</v>
      </c>
      <c r="D46" s="123" t="s">
        <v>102</v>
      </c>
      <c r="E46" s="123"/>
      <c r="F46" s="123"/>
      <c r="G46" s="123"/>
      <c r="H46" s="123"/>
      <c r="I46" s="123"/>
      <c r="J46" s="123"/>
      <c r="K46" s="123"/>
      <c r="L46" s="124" t="s">
        <v>104</v>
      </c>
      <c r="M46" s="123" t="s">
        <v>546</v>
      </c>
      <c r="N46" s="125" t="s">
        <v>1331</v>
      </c>
      <c r="O46" s="122" t="s">
        <v>115</v>
      </c>
      <c r="P46" s="122" t="s">
        <v>103</v>
      </c>
      <c r="Q46" s="122" t="s">
        <v>103</v>
      </c>
      <c r="R46" s="122" t="s">
        <v>102</v>
      </c>
      <c r="S46" s="122" t="s">
        <v>103</v>
      </c>
      <c r="T46" s="122" t="s">
        <v>103</v>
      </c>
      <c r="U46" s="122" t="s">
        <v>103</v>
      </c>
      <c r="V46" s="123" t="s">
        <v>1060</v>
      </c>
      <c r="W46" s="123" t="s">
        <v>1061</v>
      </c>
      <c r="X46" s="123" t="s">
        <v>940</v>
      </c>
      <c r="Y46" s="122"/>
      <c r="Z46" s="122"/>
      <c r="AA46" s="126">
        <v>23</v>
      </c>
      <c r="AB46" s="126"/>
      <c r="AC46" s="122" t="s">
        <v>506</v>
      </c>
      <c r="AD46" s="122"/>
      <c r="AE46" s="122"/>
      <c r="AF46" s="110" t="s">
        <v>1062</v>
      </c>
    </row>
    <row r="47" spans="1:32" ht="15" customHeight="1" x14ac:dyDescent="0.25">
      <c r="A47" s="111">
        <v>74</v>
      </c>
      <c r="B47" s="122" t="str">
        <f>N47</f>
        <v>Walkability Index</v>
      </c>
      <c r="C47" s="123" t="s">
        <v>92</v>
      </c>
      <c r="D47" s="123" t="s">
        <v>102</v>
      </c>
      <c r="E47" s="123"/>
      <c r="F47" s="123"/>
      <c r="G47" s="123"/>
      <c r="H47" s="123"/>
      <c r="I47" s="123"/>
      <c r="J47" s="123"/>
      <c r="K47" s="123"/>
      <c r="L47" s="124" t="s">
        <v>104</v>
      </c>
      <c r="M47" s="123" t="s">
        <v>546</v>
      </c>
      <c r="N47" s="125" t="s">
        <v>1144</v>
      </c>
      <c r="O47" s="128" t="s">
        <v>110</v>
      </c>
      <c r="P47" s="128" t="s">
        <v>103</v>
      </c>
      <c r="Q47" s="128" t="s">
        <v>103</v>
      </c>
      <c r="R47" s="128" t="s">
        <v>103</v>
      </c>
      <c r="S47" s="128" t="s">
        <v>103</v>
      </c>
      <c r="T47" s="128" t="s">
        <v>103</v>
      </c>
      <c r="U47" s="128" t="s">
        <v>102</v>
      </c>
      <c r="V47" s="129" t="s">
        <v>1058</v>
      </c>
      <c r="W47" s="129" t="s">
        <v>1059</v>
      </c>
      <c r="X47" s="129" t="s">
        <v>940</v>
      </c>
      <c r="Y47" s="128"/>
      <c r="Z47" s="128" t="s">
        <v>1336</v>
      </c>
      <c r="AA47" s="126">
        <v>23</v>
      </c>
      <c r="AB47" s="126"/>
      <c r="AC47" s="122" t="s">
        <v>506</v>
      </c>
      <c r="AD47" s="122"/>
      <c r="AE47" s="122"/>
      <c r="AF47" s="110" t="s">
        <v>1322</v>
      </c>
    </row>
    <row r="48" spans="1:32" ht="15" customHeight="1" x14ac:dyDescent="0.25">
      <c r="A48" s="111">
        <v>235</v>
      </c>
      <c r="B48" s="125" t="str">
        <f>N48</f>
        <v>Road accident locations</v>
      </c>
      <c r="C48" s="124" t="s">
        <v>92</v>
      </c>
      <c r="D48" s="124" t="s">
        <v>102</v>
      </c>
      <c r="E48" s="124"/>
      <c r="F48" s="124"/>
      <c r="G48" s="124"/>
      <c r="H48" s="124"/>
      <c r="I48" s="124"/>
      <c r="J48" s="124"/>
      <c r="K48" s="124"/>
      <c r="L48" s="123" t="s">
        <v>104</v>
      </c>
      <c r="M48" s="125" t="s">
        <v>546</v>
      </c>
      <c r="N48" s="125" t="s">
        <v>575</v>
      </c>
      <c r="O48" s="125" t="s">
        <v>115</v>
      </c>
      <c r="P48" s="125" t="s">
        <v>103</v>
      </c>
      <c r="Q48" s="125" t="s">
        <v>103</v>
      </c>
      <c r="R48" s="125" t="s">
        <v>102</v>
      </c>
      <c r="S48" s="125" t="s">
        <v>103</v>
      </c>
      <c r="T48" s="125" t="s">
        <v>103</v>
      </c>
      <c r="U48" s="125" t="s">
        <v>103</v>
      </c>
      <c r="V48" s="124" t="s">
        <v>1067</v>
      </c>
      <c r="W48" s="124" t="s">
        <v>977</v>
      </c>
      <c r="X48" s="124" t="s">
        <v>940</v>
      </c>
      <c r="Y48" s="125"/>
      <c r="Z48" s="125"/>
      <c r="AA48" s="127">
        <v>13</v>
      </c>
      <c r="AB48" s="127"/>
      <c r="AC48" s="125" t="s">
        <v>151</v>
      </c>
      <c r="AD48" s="124" t="s">
        <v>1068</v>
      </c>
      <c r="AE48" s="124"/>
    </row>
    <row r="49" spans="1:32" ht="15" customHeight="1" x14ac:dyDescent="0.25">
      <c r="A49" s="111">
        <v>334</v>
      </c>
      <c r="B49" s="125" t="str">
        <f>N49</f>
        <v>Traffic accident fatalities</v>
      </c>
      <c r="C49" s="124" t="s">
        <v>92</v>
      </c>
      <c r="D49" s="124" t="s">
        <v>102</v>
      </c>
      <c r="E49" s="124"/>
      <c r="F49" s="124"/>
      <c r="G49" s="124"/>
      <c r="H49" s="124"/>
      <c r="I49" s="124"/>
      <c r="J49" s="124"/>
      <c r="K49" s="124"/>
      <c r="L49" s="125" t="s">
        <v>104</v>
      </c>
      <c r="M49" s="125" t="s">
        <v>546</v>
      </c>
      <c r="N49" s="125" t="s">
        <v>677</v>
      </c>
      <c r="O49" s="125" t="s">
        <v>115</v>
      </c>
      <c r="P49" s="125" t="s">
        <v>103</v>
      </c>
      <c r="Q49" s="125" t="s">
        <v>103</v>
      </c>
      <c r="R49" s="125" t="s">
        <v>102</v>
      </c>
      <c r="S49" s="125" t="s">
        <v>103</v>
      </c>
      <c r="T49" s="125" t="s">
        <v>103</v>
      </c>
      <c r="U49" s="125" t="s">
        <v>103</v>
      </c>
      <c r="V49" s="124" t="s">
        <v>1069</v>
      </c>
      <c r="W49" s="124" t="s">
        <v>1070</v>
      </c>
      <c r="X49" s="124" t="s">
        <v>963</v>
      </c>
      <c r="Y49" s="136"/>
      <c r="Z49" s="125"/>
      <c r="AA49" s="127">
        <v>17</v>
      </c>
      <c r="AB49" s="127"/>
      <c r="AC49" s="125" t="s">
        <v>188</v>
      </c>
      <c r="AD49" s="124" t="s">
        <v>1068</v>
      </c>
      <c r="AE49" s="124"/>
      <c r="AF49" s="125"/>
    </row>
    <row r="50" spans="1:32" ht="15" customHeight="1" x14ac:dyDescent="0.25">
      <c r="A50" s="111">
        <v>162</v>
      </c>
      <c r="B50" s="125" t="str">
        <f t="shared" ref="B50:B56" si="4">"Access to "&amp;LOWER(N50)</f>
        <v>Access to parks (local, neighbourhood, district, regional)</v>
      </c>
      <c r="C50" s="123" t="s">
        <v>93</v>
      </c>
      <c r="D50" s="123"/>
      <c r="E50" s="123" t="s">
        <v>102</v>
      </c>
      <c r="F50" s="123"/>
      <c r="G50" s="123"/>
      <c r="H50" s="123"/>
      <c r="I50" s="123"/>
      <c r="J50" s="123"/>
      <c r="K50" s="123"/>
      <c r="L50" s="125" t="s">
        <v>1076</v>
      </c>
      <c r="M50" s="123" t="s">
        <v>585</v>
      </c>
      <c r="N50" s="124" t="s">
        <v>1330</v>
      </c>
      <c r="O50" s="125" t="s">
        <v>290</v>
      </c>
      <c r="P50" s="125" t="s">
        <v>102</v>
      </c>
      <c r="Q50" s="125">
        <v>500</v>
      </c>
      <c r="R50" s="125" t="s">
        <v>102</v>
      </c>
      <c r="S50" s="125" t="s">
        <v>102</v>
      </c>
      <c r="T50" s="125" t="s">
        <v>103</v>
      </c>
      <c r="U50" s="125" t="s">
        <v>103</v>
      </c>
      <c r="V50" s="124" t="s">
        <v>1052</v>
      </c>
      <c r="W50" s="124" t="s">
        <v>1053</v>
      </c>
      <c r="X50" s="124" t="s">
        <v>1053</v>
      </c>
      <c r="Y50" s="125"/>
      <c r="Z50" s="110" t="s">
        <v>1329</v>
      </c>
      <c r="AA50" s="127">
        <v>19</v>
      </c>
      <c r="AB50" s="127"/>
      <c r="AC50" s="125" t="s">
        <v>309</v>
      </c>
      <c r="AD50" s="124" t="s">
        <v>1077</v>
      </c>
      <c r="AE50" s="125"/>
      <c r="AF50" s="110" t="s">
        <v>1079</v>
      </c>
    </row>
    <row r="51" spans="1:32" ht="15" customHeight="1" x14ac:dyDescent="0.25">
      <c r="A51" s="111">
        <v>91</v>
      </c>
      <c r="B51" s="125" t="str">
        <f t="shared" si="4"/>
        <v>Access to public green space</v>
      </c>
      <c r="C51" s="124" t="s">
        <v>93</v>
      </c>
      <c r="D51" s="124"/>
      <c r="E51" s="124" t="s">
        <v>102</v>
      </c>
      <c r="F51" s="124"/>
      <c r="G51" s="124"/>
      <c r="H51" s="124"/>
      <c r="I51" s="124"/>
      <c r="J51" s="124"/>
      <c r="K51" s="124"/>
      <c r="L51" s="125" t="s">
        <v>1076</v>
      </c>
      <c r="M51" s="123" t="s">
        <v>585</v>
      </c>
      <c r="N51" s="124" t="s">
        <v>609</v>
      </c>
      <c r="O51" s="125" t="s">
        <v>290</v>
      </c>
      <c r="P51" s="125" t="s">
        <v>102</v>
      </c>
      <c r="Q51" s="125">
        <v>500</v>
      </c>
      <c r="R51" s="125" t="s">
        <v>102</v>
      </c>
      <c r="S51" s="125" t="s">
        <v>102</v>
      </c>
      <c r="T51" s="125" t="s">
        <v>103</v>
      </c>
      <c r="U51" s="125" t="s">
        <v>103</v>
      </c>
      <c r="V51" s="124" t="s">
        <v>1052</v>
      </c>
      <c r="W51" s="124" t="s">
        <v>1053</v>
      </c>
      <c r="X51" s="124" t="s">
        <v>1053</v>
      </c>
      <c r="Y51" s="125"/>
      <c r="Z51" s="110" t="s">
        <v>1329</v>
      </c>
      <c r="AA51" s="127">
        <v>35</v>
      </c>
      <c r="AB51" s="127"/>
      <c r="AC51" s="125" t="s">
        <v>595</v>
      </c>
      <c r="AD51" s="124" t="s">
        <v>1077</v>
      </c>
      <c r="AE51" s="124" t="s">
        <v>596</v>
      </c>
    </row>
    <row r="52" spans="1:32" ht="15" customHeight="1" x14ac:dyDescent="0.25">
      <c r="A52" s="111">
        <v>187</v>
      </c>
      <c r="B52" s="110" t="str">
        <f t="shared" si="4"/>
        <v>Access to public open space</v>
      </c>
      <c r="C52" s="124" t="s">
        <v>93</v>
      </c>
      <c r="D52" s="124"/>
      <c r="E52" s="124" t="s">
        <v>102</v>
      </c>
      <c r="F52" s="124"/>
      <c r="G52" s="124"/>
      <c r="H52" s="124"/>
      <c r="I52" s="124"/>
      <c r="J52" s="124"/>
      <c r="K52" s="124"/>
      <c r="L52" s="125" t="s">
        <v>1076</v>
      </c>
      <c r="M52" s="125" t="s">
        <v>585</v>
      </c>
      <c r="N52" s="124" t="s">
        <v>371</v>
      </c>
      <c r="O52" s="125" t="s">
        <v>285</v>
      </c>
      <c r="P52" s="125" t="s">
        <v>102</v>
      </c>
      <c r="Q52" s="125" t="s">
        <v>1319</v>
      </c>
      <c r="R52" s="125" t="s">
        <v>102</v>
      </c>
      <c r="S52" s="125" t="s">
        <v>102</v>
      </c>
      <c r="T52" s="125" t="s">
        <v>103</v>
      </c>
      <c r="U52" s="134" t="s">
        <v>1318</v>
      </c>
      <c r="V52" s="124" t="s">
        <v>1080</v>
      </c>
      <c r="W52" s="124" t="s">
        <v>1081</v>
      </c>
      <c r="X52" s="124" t="s">
        <v>940</v>
      </c>
      <c r="Y52" s="125"/>
      <c r="Z52" s="125" t="s">
        <v>1329</v>
      </c>
      <c r="AA52" s="134">
        <v>18</v>
      </c>
      <c r="AB52" s="126"/>
      <c r="AC52" s="132" t="s">
        <v>292</v>
      </c>
      <c r="AD52" s="124" t="s">
        <v>1077</v>
      </c>
      <c r="AE52" s="124"/>
      <c r="AF52" s="132" t="s">
        <v>1082</v>
      </c>
    </row>
    <row r="53" spans="1:32" ht="15" customHeight="1" x14ac:dyDescent="0.25">
      <c r="A53" s="111">
        <v>174</v>
      </c>
      <c r="B53" s="122" t="str">
        <f t="shared" si="4"/>
        <v>Access to police station</v>
      </c>
      <c r="C53" s="123" t="s">
        <v>92</v>
      </c>
      <c r="D53" s="123" t="s">
        <v>102</v>
      </c>
      <c r="E53" s="123"/>
      <c r="F53" s="123"/>
      <c r="G53" s="123"/>
      <c r="H53" s="123"/>
      <c r="I53" s="123"/>
      <c r="J53" s="123"/>
      <c r="K53" s="123"/>
      <c r="L53" s="123" t="s">
        <v>109</v>
      </c>
      <c r="M53" s="122" t="s">
        <v>199</v>
      </c>
      <c r="N53" s="125" t="s">
        <v>562</v>
      </c>
      <c r="O53" s="122" t="s">
        <v>290</v>
      </c>
      <c r="P53" s="122" t="s">
        <v>102</v>
      </c>
      <c r="Q53" s="125">
        <v>1000</v>
      </c>
      <c r="R53" s="122" t="s">
        <v>102</v>
      </c>
      <c r="S53" s="122" t="s">
        <v>102</v>
      </c>
      <c r="T53" s="122" t="s">
        <v>103</v>
      </c>
      <c r="U53" s="122" t="s">
        <v>103</v>
      </c>
      <c r="V53" s="123" t="s">
        <v>1087</v>
      </c>
      <c r="W53" s="123" t="s">
        <v>1088</v>
      </c>
      <c r="X53" s="123" t="s">
        <v>940</v>
      </c>
      <c r="Y53" s="122"/>
      <c r="Z53" s="122" t="s">
        <v>1329</v>
      </c>
      <c r="AA53" s="126" t="s">
        <v>564</v>
      </c>
      <c r="AB53" s="126"/>
      <c r="AC53" s="122" t="s">
        <v>565</v>
      </c>
      <c r="AD53" s="122" t="s">
        <v>1086</v>
      </c>
      <c r="AE53" s="122"/>
      <c r="AF53" s="122" t="s">
        <v>1089</v>
      </c>
    </row>
    <row r="54" spans="1:32" ht="15" customHeight="1" x14ac:dyDescent="0.25">
      <c r="A54" s="111">
        <v>69</v>
      </c>
      <c r="B54" s="122" t="str">
        <f t="shared" si="4"/>
        <v>Access to fire station</v>
      </c>
      <c r="C54" s="123" t="s">
        <v>92</v>
      </c>
      <c r="D54" s="123" t="s">
        <v>102</v>
      </c>
      <c r="E54" s="123"/>
      <c r="F54" s="123"/>
      <c r="G54" s="123"/>
      <c r="H54" s="123"/>
      <c r="I54" s="123"/>
      <c r="J54" s="123"/>
      <c r="K54" s="123"/>
      <c r="L54" s="123" t="s">
        <v>109</v>
      </c>
      <c r="M54" s="122" t="s">
        <v>199</v>
      </c>
      <c r="N54" s="125" t="s">
        <v>469</v>
      </c>
      <c r="O54" s="122" t="s">
        <v>290</v>
      </c>
      <c r="P54" s="122" t="s">
        <v>102</v>
      </c>
      <c r="Q54" s="122">
        <v>1000</v>
      </c>
      <c r="R54" s="122" t="s">
        <v>102</v>
      </c>
      <c r="S54" s="122" t="s">
        <v>102</v>
      </c>
      <c r="T54" s="122" t="s">
        <v>103</v>
      </c>
      <c r="U54" s="122" t="s">
        <v>103</v>
      </c>
      <c r="V54" s="123" t="s">
        <v>1084</v>
      </c>
      <c r="W54" s="123" t="s">
        <v>1085</v>
      </c>
      <c r="X54" s="123" t="s">
        <v>940</v>
      </c>
      <c r="Y54" s="122"/>
      <c r="Z54" s="122" t="s">
        <v>1329</v>
      </c>
      <c r="AA54" s="126">
        <v>18</v>
      </c>
      <c r="AB54" s="126"/>
      <c r="AC54" s="122" t="s">
        <v>292</v>
      </c>
      <c r="AD54" s="122" t="s">
        <v>1086</v>
      </c>
      <c r="AE54" s="122"/>
      <c r="AF54" s="122" t="s">
        <v>1285</v>
      </c>
    </row>
    <row r="55" spans="1:32" ht="15" customHeight="1" x14ac:dyDescent="0.25">
      <c r="A55" s="111">
        <v>225</v>
      </c>
      <c r="B55" s="125" t="str">
        <f t="shared" si="4"/>
        <v>Access to recreational areas</v>
      </c>
      <c r="C55" s="123" t="s">
        <v>97</v>
      </c>
      <c r="D55" s="123"/>
      <c r="E55" s="123"/>
      <c r="F55" s="123"/>
      <c r="G55" s="123"/>
      <c r="H55" s="123"/>
      <c r="I55" s="123" t="s">
        <v>102</v>
      </c>
      <c r="J55" s="123"/>
      <c r="K55" s="123"/>
      <c r="L55" s="132" t="s">
        <v>310</v>
      </c>
      <c r="M55" s="125" t="s">
        <v>343</v>
      </c>
      <c r="N55" s="125" t="s">
        <v>343</v>
      </c>
      <c r="O55" s="125" t="s">
        <v>290</v>
      </c>
      <c r="P55" s="122" t="s">
        <v>102</v>
      </c>
      <c r="Q55" s="125">
        <v>500</v>
      </c>
      <c r="R55" s="122" t="s">
        <v>102</v>
      </c>
      <c r="S55" s="122" t="s">
        <v>102</v>
      </c>
      <c r="T55" s="125" t="s">
        <v>103</v>
      </c>
      <c r="U55" s="125" t="s">
        <v>103</v>
      </c>
      <c r="V55" s="124" t="s">
        <v>1090</v>
      </c>
      <c r="W55" s="124" t="s">
        <v>1091</v>
      </c>
      <c r="X55" s="124" t="s">
        <v>940</v>
      </c>
      <c r="Y55" s="125"/>
      <c r="Z55" s="125" t="s">
        <v>1329</v>
      </c>
      <c r="AA55" s="127">
        <v>18</v>
      </c>
      <c r="AB55" s="127"/>
      <c r="AC55" s="125" t="s">
        <v>292</v>
      </c>
      <c r="AD55" s="124" t="s">
        <v>975</v>
      </c>
      <c r="AE55" s="125"/>
      <c r="AF55" s="125"/>
    </row>
    <row r="56" spans="1:32" ht="15" customHeight="1" x14ac:dyDescent="0.25">
      <c r="A56" s="111">
        <v>257</v>
      </c>
      <c r="B56" s="132" t="str">
        <f t="shared" si="4"/>
        <v>Access to sports centres</v>
      </c>
      <c r="C56" s="124" t="s">
        <v>97</v>
      </c>
      <c r="D56" s="124"/>
      <c r="E56" s="124"/>
      <c r="F56" s="124"/>
      <c r="G56" s="124"/>
      <c r="H56" s="124"/>
      <c r="I56" s="124" t="s">
        <v>102</v>
      </c>
      <c r="J56" s="124"/>
      <c r="K56" s="124"/>
      <c r="L56" s="132" t="s">
        <v>310</v>
      </c>
      <c r="M56" s="125" t="s">
        <v>343</v>
      </c>
      <c r="N56" s="132" t="s">
        <v>375</v>
      </c>
      <c r="O56" s="132" t="s">
        <v>115</v>
      </c>
      <c r="P56" s="132" t="s">
        <v>102</v>
      </c>
      <c r="Q56" s="125">
        <v>500</v>
      </c>
      <c r="R56" s="132" t="s">
        <v>102</v>
      </c>
      <c r="S56" s="132" t="s">
        <v>102</v>
      </c>
      <c r="T56" s="132" t="s">
        <v>103</v>
      </c>
      <c r="U56" s="132" t="s">
        <v>103</v>
      </c>
      <c r="V56" s="133" t="s">
        <v>1073</v>
      </c>
      <c r="W56" s="133" t="s">
        <v>1074</v>
      </c>
      <c r="X56" s="133" t="s">
        <v>940</v>
      </c>
      <c r="Y56" s="132"/>
      <c r="Z56" s="132" t="s">
        <v>1329</v>
      </c>
      <c r="AA56" s="134" t="s">
        <v>1075</v>
      </c>
      <c r="AB56" s="134"/>
      <c r="AC56" s="132" t="s">
        <v>352</v>
      </c>
      <c r="AD56" s="124" t="s">
        <v>975</v>
      </c>
      <c r="AE56" s="124"/>
      <c r="AF56" s="132"/>
    </row>
    <row r="57" spans="1:32" ht="15" customHeight="1" x14ac:dyDescent="0.25">
      <c r="A57" s="111">
        <v>218</v>
      </c>
      <c r="B57" s="125" t="s">
        <v>1326</v>
      </c>
      <c r="C57" s="123" t="s">
        <v>97</v>
      </c>
      <c r="D57" s="123"/>
      <c r="E57" s="123"/>
      <c r="F57" s="123"/>
      <c r="G57" s="123"/>
      <c r="H57" s="123"/>
      <c r="I57" s="123" t="s">
        <v>102</v>
      </c>
      <c r="J57" s="123"/>
      <c r="K57" s="123"/>
      <c r="L57" s="124" t="s">
        <v>310</v>
      </c>
      <c r="M57" s="125" t="s">
        <v>343</v>
      </c>
      <c r="N57" s="125" t="s">
        <v>346</v>
      </c>
      <c r="O57" s="125" t="s">
        <v>290</v>
      </c>
      <c r="P57" s="125" t="s">
        <v>102</v>
      </c>
      <c r="Q57" s="125" t="s">
        <v>102</v>
      </c>
      <c r="R57" s="125" t="s">
        <v>102</v>
      </c>
      <c r="S57" s="125" t="s">
        <v>102</v>
      </c>
      <c r="T57" s="125" t="s">
        <v>103</v>
      </c>
      <c r="U57" s="125" t="s">
        <v>102</v>
      </c>
      <c r="V57" s="124" t="s">
        <v>1092</v>
      </c>
      <c r="W57" s="124" t="s">
        <v>1093</v>
      </c>
      <c r="X57" s="124" t="s">
        <v>1094</v>
      </c>
      <c r="Y57" s="125"/>
      <c r="Z57" s="125" t="s">
        <v>1329</v>
      </c>
      <c r="AA57" s="127">
        <v>15</v>
      </c>
      <c r="AB57" s="127"/>
      <c r="AC57" s="125" t="s">
        <v>153</v>
      </c>
      <c r="AD57" s="124" t="s">
        <v>975</v>
      </c>
      <c r="AE57" s="125"/>
      <c r="AF57" s="125" t="s">
        <v>1095</v>
      </c>
    </row>
    <row r="58" spans="1:32" ht="15" customHeight="1" x14ac:dyDescent="0.25">
      <c r="A58" s="111">
        <v>96</v>
      </c>
      <c r="B58" s="122" t="str">
        <f>"Access to "&amp;LOWER(N58)</f>
        <v>Access to hawker/stall</v>
      </c>
      <c r="C58" s="123" t="s">
        <v>93</v>
      </c>
      <c r="D58" s="123"/>
      <c r="E58" s="123" t="s">
        <v>102</v>
      </c>
      <c r="F58" s="123"/>
      <c r="G58" s="123"/>
      <c r="H58" s="123"/>
      <c r="I58" s="123"/>
      <c r="J58" s="123"/>
      <c r="K58" s="123"/>
      <c r="L58" s="123" t="s">
        <v>967</v>
      </c>
      <c r="M58" s="122" t="s">
        <v>968</v>
      </c>
      <c r="N58" s="122" t="s">
        <v>796</v>
      </c>
      <c r="O58" s="122" t="s">
        <v>115</v>
      </c>
      <c r="P58" s="122" t="s">
        <v>102</v>
      </c>
      <c r="Q58" s="122" t="s">
        <v>102</v>
      </c>
      <c r="R58" s="122" t="s">
        <v>102</v>
      </c>
      <c r="S58" s="122" t="s">
        <v>102</v>
      </c>
      <c r="T58" s="122" t="s">
        <v>103</v>
      </c>
      <c r="U58" s="122" t="s">
        <v>103</v>
      </c>
      <c r="V58" s="123" t="s">
        <v>1096</v>
      </c>
      <c r="W58" s="123" t="s">
        <v>1097</v>
      </c>
      <c r="X58" s="123" t="s">
        <v>940</v>
      </c>
      <c r="Y58" s="122"/>
      <c r="Z58" s="122" t="s">
        <v>1329</v>
      </c>
      <c r="AA58" s="126">
        <v>13</v>
      </c>
      <c r="AB58" s="126"/>
      <c r="AC58" s="122" t="s">
        <v>151</v>
      </c>
      <c r="AD58" s="122" t="s">
        <v>1066</v>
      </c>
      <c r="AE58" s="122"/>
      <c r="AF58" s="122" t="s">
        <v>1321</v>
      </c>
    </row>
    <row r="59" spans="1:32" ht="15" customHeight="1" x14ac:dyDescent="0.25">
      <c r="A59" s="111">
        <v>107</v>
      </c>
      <c r="B59" s="125" t="str">
        <f t="shared" ref="B59:B64" si="5">N59</f>
        <v>The difference between the relative humidity in July and the optimum humidity for human body</v>
      </c>
      <c r="C59" s="124" t="s">
        <v>94</v>
      </c>
      <c r="D59" s="124"/>
      <c r="E59" s="124"/>
      <c r="F59" s="124" t="s">
        <v>102</v>
      </c>
      <c r="G59" s="124"/>
      <c r="H59" s="124"/>
      <c r="I59" s="124"/>
      <c r="J59" s="124"/>
      <c r="K59" s="124"/>
      <c r="L59" s="124" t="s">
        <v>539</v>
      </c>
      <c r="M59" s="125" t="s">
        <v>681</v>
      </c>
      <c r="N59" s="125" t="s">
        <v>713</v>
      </c>
      <c r="O59" s="125" t="s">
        <v>115</v>
      </c>
      <c r="P59" s="125" t="s">
        <v>103</v>
      </c>
      <c r="Q59" s="125" t="s">
        <v>103</v>
      </c>
      <c r="R59" s="125" t="s">
        <v>102</v>
      </c>
      <c r="S59" s="125" t="s">
        <v>103</v>
      </c>
      <c r="T59" s="125" t="s">
        <v>103</v>
      </c>
      <c r="U59" s="125" t="s">
        <v>103</v>
      </c>
      <c r="V59" s="124" t="s">
        <v>1098</v>
      </c>
      <c r="W59" s="124" t="s">
        <v>1099</v>
      </c>
      <c r="X59" s="124" t="s">
        <v>963</v>
      </c>
      <c r="Y59" s="125"/>
      <c r="Z59" s="125"/>
      <c r="AA59" s="127">
        <v>17</v>
      </c>
      <c r="AB59" s="127"/>
      <c r="AC59" s="125" t="s">
        <v>188</v>
      </c>
      <c r="AD59" s="124"/>
      <c r="AE59" s="124"/>
      <c r="AF59" s="125" t="s">
        <v>544</v>
      </c>
    </row>
    <row r="60" spans="1:32" ht="15" customHeight="1" x14ac:dyDescent="0.25">
      <c r="A60" s="111">
        <v>337</v>
      </c>
      <c r="B60" s="110" t="str">
        <f t="shared" si="5"/>
        <v>Humidity</v>
      </c>
      <c r="C60" s="124" t="s">
        <v>94</v>
      </c>
      <c r="D60" s="124"/>
      <c r="E60" s="124"/>
      <c r="F60" s="124" t="s">
        <v>102</v>
      </c>
      <c r="G60" s="124"/>
      <c r="H60" s="124"/>
      <c r="I60" s="124"/>
      <c r="J60" s="124"/>
      <c r="K60" s="124"/>
      <c r="L60" s="124" t="s">
        <v>539</v>
      </c>
      <c r="M60" s="125" t="s">
        <v>681</v>
      </c>
      <c r="N60" s="125" t="s">
        <v>712</v>
      </c>
      <c r="O60" s="125" t="s">
        <v>115</v>
      </c>
      <c r="P60" s="125" t="s">
        <v>103</v>
      </c>
      <c r="Q60" s="125" t="s">
        <v>103</v>
      </c>
      <c r="R60" s="125" t="s">
        <v>102</v>
      </c>
      <c r="S60" s="125" t="s">
        <v>103</v>
      </c>
      <c r="T60" s="125" t="s">
        <v>103</v>
      </c>
      <c r="U60" s="125" t="s">
        <v>103</v>
      </c>
      <c r="V60" s="124" t="s">
        <v>1105</v>
      </c>
      <c r="W60" s="124" t="s">
        <v>1106</v>
      </c>
      <c r="X60" s="124" t="s">
        <v>940</v>
      </c>
      <c r="Y60" s="125"/>
      <c r="Z60" s="125" t="s">
        <v>1335</v>
      </c>
      <c r="AA60" s="134">
        <v>16</v>
      </c>
      <c r="AB60" s="134"/>
      <c r="AC60" s="132" t="s">
        <v>244</v>
      </c>
      <c r="AD60" s="124"/>
      <c r="AE60" s="125" t="s">
        <v>1102</v>
      </c>
      <c r="AF60" s="132"/>
    </row>
    <row r="61" spans="1:32" ht="15" customHeight="1" x14ac:dyDescent="0.25">
      <c r="A61" s="111">
        <v>366</v>
      </c>
      <c r="B61" s="125" t="str">
        <f t="shared" si="5"/>
        <v>Hours of sunshine in January</v>
      </c>
      <c r="C61" s="124" t="s">
        <v>94</v>
      </c>
      <c r="D61" s="124"/>
      <c r="E61" s="124"/>
      <c r="F61" s="124" t="s">
        <v>102</v>
      </c>
      <c r="G61" s="124"/>
      <c r="H61" s="124"/>
      <c r="I61" s="124"/>
      <c r="J61" s="124"/>
      <c r="K61" s="124"/>
      <c r="L61" s="125" t="s">
        <v>539</v>
      </c>
      <c r="M61" s="125" t="s">
        <v>681</v>
      </c>
      <c r="N61" s="125" t="s">
        <v>716</v>
      </c>
      <c r="O61" s="125" t="s">
        <v>115</v>
      </c>
      <c r="P61" s="125" t="s">
        <v>103</v>
      </c>
      <c r="Q61" s="125" t="s">
        <v>103</v>
      </c>
      <c r="R61" s="125" t="s">
        <v>102</v>
      </c>
      <c r="S61" s="125" t="s">
        <v>103</v>
      </c>
      <c r="T61" s="125" t="s">
        <v>103</v>
      </c>
      <c r="U61" s="125" t="s">
        <v>103</v>
      </c>
      <c r="V61" s="124" t="s">
        <v>1111</v>
      </c>
      <c r="W61" s="124" t="s">
        <v>1112</v>
      </c>
      <c r="X61" s="124" t="s">
        <v>963</v>
      </c>
      <c r="Y61" s="125"/>
      <c r="Z61" s="125" t="s">
        <v>1335</v>
      </c>
      <c r="AA61" s="127">
        <v>17</v>
      </c>
      <c r="AB61" s="127"/>
      <c r="AC61" s="125" t="s">
        <v>188</v>
      </c>
      <c r="AD61" s="125"/>
      <c r="AE61" s="125" t="s">
        <v>1102</v>
      </c>
      <c r="AF61" s="125" t="s">
        <v>1113</v>
      </c>
    </row>
    <row r="62" spans="1:32" ht="15" customHeight="1" x14ac:dyDescent="0.25">
      <c r="A62" s="111">
        <v>371</v>
      </c>
      <c r="B62" s="122" t="str">
        <f t="shared" si="5"/>
        <v>Temperature</v>
      </c>
      <c r="C62" s="123" t="s">
        <v>94</v>
      </c>
      <c r="D62" s="123"/>
      <c r="E62" s="123"/>
      <c r="F62" s="123" t="s">
        <v>102</v>
      </c>
      <c r="G62" s="123"/>
      <c r="H62" s="123"/>
      <c r="I62" s="123"/>
      <c r="J62" s="123"/>
      <c r="K62" s="123"/>
      <c r="L62" s="123" t="s">
        <v>539</v>
      </c>
      <c r="M62" s="122" t="s">
        <v>681</v>
      </c>
      <c r="N62" s="122" t="s">
        <v>710</v>
      </c>
      <c r="O62" s="122" t="s">
        <v>115</v>
      </c>
      <c r="P62" s="122" t="s">
        <v>103</v>
      </c>
      <c r="Q62" s="122" t="s">
        <v>103</v>
      </c>
      <c r="R62" s="122" t="s">
        <v>102</v>
      </c>
      <c r="S62" s="122" t="s">
        <v>103</v>
      </c>
      <c r="T62" s="122" t="s">
        <v>103</v>
      </c>
      <c r="U62" s="122" t="s">
        <v>103</v>
      </c>
      <c r="V62" s="111" t="s">
        <v>1100</v>
      </c>
      <c r="W62" s="111" t="s">
        <v>1101</v>
      </c>
      <c r="X62" s="111" t="s">
        <v>940</v>
      </c>
      <c r="Y62" s="110"/>
      <c r="Z62" s="110" t="s">
        <v>1335</v>
      </c>
      <c r="AA62" s="126">
        <v>16</v>
      </c>
      <c r="AB62" s="126"/>
      <c r="AC62" s="122" t="s">
        <v>244</v>
      </c>
      <c r="AD62" s="125"/>
      <c r="AE62" s="125" t="s">
        <v>1102</v>
      </c>
      <c r="AF62" s="122"/>
    </row>
    <row r="63" spans="1:32" ht="15" customHeight="1" x14ac:dyDescent="0.25">
      <c r="A63" s="111">
        <v>370</v>
      </c>
      <c r="B63" s="124" t="str">
        <f t="shared" si="5"/>
        <v>Average temperature in sunshine</v>
      </c>
      <c r="C63" s="133" t="s">
        <v>94</v>
      </c>
      <c r="D63" s="133"/>
      <c r="E63" s="133"/>
      <c r="F63" s="133" t="s">
        <v>102</v>
      </c>
      <c r="G63" s="133"/>
      <c r="H63" s="133"/>
      <c r="I63" s="133"/>
      <c r="J63" s="133"/>
      <c r="K63" s="133"/>
      <c r="L63" s="133" t="s">
        <v>539</v>
      </c>
      <c r="M63" s="122" t="s">
        <v>681</v>
      </c>
      <c r="N63" s="132" t="s">
        <v>714</v>
      </c>
      <c r="O63" s="132" t="s">
        <v>115</v>
      </c>
      <c r="P63" s="132" t="s">
        <v>103</v>
      </c>
      <c r="Q63" s="132" t="s">
        <v>103</v>
      </c>
      <c r="R63" s="132" t="s">
        <v>102</v>
      </c>
      <c r="S63" s="132" t="s">
        <v>103</v>
      </c>
      <c r="T63" s="132" t="s">
        <v>103</v>
      </c>
      <c r="U63" s="132" t="s">
        <v>103</v>
      </c>
      <c r="V63" s="123" t="s">
        <v>1107</v>
      </c>
      <c r="W63" s="123" t="s">
        <v>1108</v>
      </c>
      <c r="X63" s="123" t="s">
        <v>963</v>
      </c>
      <c r="Y63" s="122">
        <v>2</v>
      </c>
      <c r="Z63" s="122" t="s">
        <v>1335</v>
      </c>
      <c r="AA63" s="134">
        <v>17</v>
      </c>
      <c r="AB63" s="134"/>
      <c r="AC63" s="132" t="s">
        <v>188</v>
      </c>
      <c r="AD63" s="124"/>
      <c r="AE63" s="125" t="s">
        <v>1102</v>
      </c>
      <c r="AF63" s="132" t="s">
        <v>715</v>
      </c>
    </row>
    <row r="64" spans="1:32" ht="15" customHeight="1" x14ac:dyDescent="0.25">
      <c r="A64" s="111">
        <v>372</v>
      </c>
      <c r="B64" s="125" t="str">
        <f t="shared" si="5"/>
        <v>The difference between the average temperature in July and the optimal temperature for human body</v>
      </c>
      <c r="C64" s="123" t="s">
        <v>94</v>
      </c>
      <c r="D64" s="123"/>
      <c r="E64" s="123"/>
      <c r="F64" s="123" t="s">
        <v>102</v>
      </c>
      <c r="G64" s="123"/>
      <c r="H64" s="123"/>
      <c r="I64" s="123"/>
      <c r="J64" s="123"/>
      <c r="K64" s="123"/>
      <c r="L64" s="123" t="s">
        <v>539</v>
      </c>
      <c r="M64" s="122" t="s">
        <v>681</v>
      </c>
      <c r="N64" s="122" t="s">
        <v>711</v>
      </c>
      <c r="O64" s="125" t="s">
        <v>115</v>
      </c>
      <c r="P64" s="125" t="s">
        <v>103</v>
      </c>
      <c r="Q64" s="125" t="s">
        <v>103</v>
      </c>
      <c r="R64" s="125" t="s">
        <v>102</v>
      </c>
      <c r="S64" s="125" t="s">
        <v>103</v>
      </c>
      <c r="T64" s="125" t="s">
        <v>103</v>
      </c>
      <c r="U64" s="125" t="s">
        <v>103</v>
      </c>
      <c r="V64" s="111" t="s">
        <v>1109</v>
      </c>
      <c r="W64" s="111" t="s">
        <v>962</v>
      </c>
      <c r="X64" s="111" t="s">
        <v>963</v>
      </c>
      <c r="Y64" s="110"/>
      <c r="Z64" s="110" t="s">
        <v>1335</v>
      </c>
      <c r="AA64" s="126">
        <v>17</v>
      </c>
      <c r="AB64" s="126"/>
      <c r="AC64" s="122" t="s">
        <v>188</v>
      </c>
      <c r="AD64" s="125"/>
      <c r="AE64" s="125" t="s">
        <v>1102</v>
      </c>
      <c r="AF64" s="122" t="s">
        <v>1110</v>
      </c>
    </row>
    <row r="65" spans="1:32" ht="15" customHeight="1" x14ac:dyDescent="0.25">
      <c r="A65" s="111">
        <v>26</v>
      </c>
      <c r="B65" s="124" t="str">
        <f>"Access to "&amp;LOWER(N65)</f>
        <v>Access to buses: stops</v>
      </c>
      <c r="C65" s="124" t="s">
        <v>99</v>
      </c>
      <c r="D65" s="124"/>
      <c r="E65" s="124"/>
      <c r="F65" s="124"/>
      <c r="G65" s="124"/>
      <c r="H65" s="124"/>
      <c r="I65" s="124"/>
      <c r="J65" s="124"/>
      <c r="K65" s="124" t="s">
        <v>102</v>
      </c>
      <c r="L65" s="124" t="s">
        <v>191</v>
      </c>
      <c r="M65" s="125" t="s">
        <v>729</v>
      </c>
      <c r="N65" s="125" t="s">
        <v>1114</v>
      </c>
      <c r="O65" s="125" t="s">
        <v>124</v>
      </c>
      <c r="P65" s="125" t="s">
        <v>102</v>
      </c>
      <c r="Q65" s="125" t="s">
        <v>102</v>
      </c>
      <c r="R65" s="125" t="s">
        <v>102</v>
      </c>
      <c r="S65" s="125" t="s">
        <v>1320</v>
      </c>
      <c r="T65" s="125" t="s">
        <v>103</v>
      </c>
      <c r="U65" s="125" t="s">
        <v>103</v>
      </c>
      <c r="V65" s="124" t="s">
        <v>1115</v>
      </c>
      <c r="W65" s="124" t="s">
        <v>1116</v>
      </c>
      <c r="X65" s="124" t="s">
        <v>1117</v>
      </c>
      <c r="Y65" s="125"/>
      <c r="Z65" s="125" t="s">
        <v>1329</v>
      </c>
      <c r="AA65" s="134">
        <v>5</v>
      </c>
      <c r="AB65" s="134"/>
      <c r="AC65" s="132" t="s">
        <v>157</v>
      </c>
      <c r="AD65" s="125" t="s">
        <v>1010</v>
      </c>
      <c r="AE65" s="124"/>
      <c r="AF65" s="132"/>
    </row>
    <row r="66" spans="1:32" ht="15" customHeight="1" x14ac:dyDescent="0.25">
      <c r="A66" s="111">
        <v>223</v>
      </c>
      <c r="B66" s="125" t="str">
        <f>"Access to "&amp;LOWER(N66)</f>
        <v>Access to public transport</v>
      </c>
      <c r="C66" s="123" t="s">
        <v>99</v>
      </c>
      <c r="D66" s="123"/>
      <c r="E66" s="123"/>
      <c r="F66" s="123"/>
      <c r="G66" s="123"/>
      <c r="H66" s="123"/>
      <c r="I66" s="123"/>
      <c r="J66" s="123"/>
      <c r="K66" s="123" t="s">
        <v>102</v>
      </c>
      <c r="L66" s="123" t="s">
        <v>191</v>
      </c>
      <c r="M66" s="125" t="s">
        <v>753</v>
      </c>
      <c r="N66" s="124" t="s">
        <v>346</v>
      </c>
      <c r="O66" s="125" t="s">
        <v>285</v>
      </c>
      <c r="P66" s="125" t="s">
        <v>102</v>
      </c>
      <c r="Q66" s="125" t="s">
        <v>102</v>
      </c>
      <c r="R66" s="125" t="s">
        <v>102</v>
      </c>
      <c r="S66" s="125" t="s">
        <v>102</v>
      </c>
      <c r="T66" s="125" t="s">
        <v>103</v>
      </c>
      <c r="U66" s="125" t="s">
        <v>103</v>
      </c>
      <c r="V66" s="124" t="s">
        <v>1118</v>
      </c>
      <c r="W66" s="124" t="s">
        <v>1119</v>
      </c>
      <c r="X66" s="124" t="s">
        <v>1009</v>
      </c>
      <c r="Y66" s="125"/>
      <c r="Z66" s="110" t="s">
        <v>1329</v>
      </c>
      <c r="AA66" s="127">
        <v>27</v>
      </c>
      <c r="AB66" s="127"/>
      <c r="AC66" s="125"/>
      <c r="AD66" s="125" t="s">
        <v>1010</v>
      </c>
      <c r="AE66" s="124"/>
    </row>
    <row r="67" spans="1:32" ht="15" customHeight="1" x14ac:dyDescent="0.25">
      <c r="A67" s="111">
        <v>135</v>
      </c>
      <c r="B67" s="125" t="str">
        <f>N67</f>
        <v>NDVI</v>
      </c>
      <c r="C67" s="124" t="s">
        <v>94</v>
      </c>
      <c r="D67" s="124"/>
      <c r="E67" s="124" t="s">
        <v>102</v>
      </c>
      <c r="F67" s="124"/>
      <c r="G67" s="124"/>
      <c r="H67" s="124"/>
      <c r="I67" s="124"/>
      <c r="J67" s="124"/>
      <c r="K67" s="124"/>
      <c r="L67" s="125" t="s">
        <v>539</v>
      </c>
      <c r="M67" s="125" t="s">
        <v>757</v>
      </c>
      <c r="N67" s="125" t="s">
        <v>775</v>
      </c>
      <c r="O67" s="125" t="s">
        <v>115</v>
      </c>
      <c r="P67" s="125" t="s">
        <v>103</v>
      </c>
      <c r="Q67" s="125" t="s">
        <v>103</v>
      </c>
      <c r="R67" s="125" t="s">
        <v>102</v>
      </c>
      <c r="S67" s="125" t="s">
        <v>103</v>
      </c>
      <c r="T67" s="125" t="s">
        <v>103</v>
      </c>
      <c r="U67" s="125" t="s">
        <v>103</v>
      </c>
      <c r="V67" s="124" t="s">
        <v>1127</v>
      </c>
      <c r="W67" s="124" t="s">
        <v>1120</v>
      </c>
      <c r="X67" s="124" t="s">
        <v>940</v>
      </c>
      <c r="Y67" s="125"/>
      <c r="Z67" s="125"/>
      <c r="AA67" s="127">
        <v>13</v>
      </c>
      <c r="AB67" s="127"/>
      <c r="AC67" s="125" t="s">
        <v>151</v>
      </c>
      <c r="AD67" s="125"/>
      <c r="AE67" s="125"/>
      <c r="AF67" s="125"/>
    </row>
    <row r="68" spans="1:32" ht="15" customHeight="1" x14ac:dyDescent="0.25">
      <c r="A68" s="111">
        <v>378</v>
      </c>
      <c r="B68" s="125" t="str">
        <f>N68</f>
        <v>Vegetation coverage: Canopy</v>
      </c>
      <c r="C68" s="124" t="s">
        <v>94</v>
      </c>
      <c r="D68" s="149"/>
      <c r="E68" s="149" t="s">
        <v>102</v>
      </c>
      <c r="F68" s="149"/>
      <c r="G68" s="149"/>
      <c r="H68" s="149"/>
      <c r="I68" s="149"/>
      <c r="J68" s="149"/>
      <c r="K68" s="149"/>
      <c r="L68" s="124" t="s">
        <v>539</v>
      </c>
      <c r="M68" s="125" t="s">
        <v>757</v>
      </c>
      <c r="N68" s="125" t="s">
        <v>1121</v>
      </c>
      <c r="O68" s="125" t="s">
        <v>115</v>
      </c>
      <c r="P68" s="125" t="s">
        <v>103</v>
      </c>
      <c r="Q68" s="125" t="s">
        <v>103</v>
      </c>
      <c r="R68" s="125" t="s">
        <v>102</v>
      </c>
      <c r="S68" s="125" t="s">
        <v>103</v>
      </c>
      <c r="T68" s="125" t="s">
        <v>103</v>
      </c>
      <c r="U68" s="125" t="s">
        <v>103</v>
      </c>
      <c r="V68" s="124" t="s">
        <v>1122</v>
      </c>
      <c r="W68" s="124" t="s">
        <v>1123</v>
      </c>
      <c r="X68" s="124" t="s">
        <v>940</v>
      </c>
      <c r="Y68" s="125"/>
      <c r="Z68" s="125"/>
      <c r="AA68" s="127">
        <v>22</v>
      </c>
      <c r="AB68" s="127"/>
      <c r="AC68" s="125" t="s">
        <v>112</v>
      </c>
      <c r="AD68" s="124"/>
      <c r="AE68" s="124"/>
      <c r="AF68" s="125"/>
    </row>
    <row r="69" spans="1:32" ht="15" customHeight="1" x14ac:dyDescent="0.25">
      <c r="A69" s="111">
        <v>388</v>
      </c>
      <c r="B69" s="122" t="str">
        <f>N69</f>
        <v>Vegetation mix</v>
      </c>
      <c r="C69" s="124" t="s">
        <v>94</v>
      </c>
      <c r="D69" s="150"/>
      <c r="E69" s="150" t="s">
        <v>102</v>
      </c>
      <c r="F69" s="150"/>
      <c r="G69" s="150"/>
      <c r="H69" s="150"/>
      <c r="I69" s="150"/>
      <c r="J69" s="150"/>
      <c r="K69" s="150"/>
      <c r="L69" s="124" t="s">
        <v>539</v>
      </c>
      <c r="M69" s="122" t="s">
        <v>757</v>
      </c>
      <c r="N69" s="122" t="s">
        <v>788</v>
      </c>
      <c r="O69" s="122" t="s">
        <v>175</v>
      </c>
      <c r="P69" s="122" t="s">
        <v>103</v>
      </c>
      <c r="Q69" s="122" t="s">
        <v>103</v>
      </c>
      <c r="R69" s="122" t="s">
        <v>103</v>
      </c>
      <c r="S69" s="122" t="s">
        <v>103</v>
      </c>
      <c r="T69" s="122" t="s">
        <v>102</v>
      </c>
      <c r="U69" s="122" t="s">
        <v>103</v>
      </c>
      <c r="V69" s="123" t="s">
        <v>1124</v>
      </c>
      <c r="W69" s="123" t="s">
        <v>1125</v>
      </c>
      <c r="X69" s="123" t="s">
        <v>940</v>
      </c>
      <c r="Y69" s="122"/>
      <c r="Z69" s="122"/>
      <c r="AA69" s="126">
        <v>16</v>
      </c>
      <c r="AB69" s="126"/>
      <c r="AC69" s="122" t="s">
        <v>244</v>
      </c>
      <c r="AD69" s="122"/>
      <c r="AE69" s="122"/>
      <c r="AF69" s="122"/>
    </row>
    <row r="70" spans="1:32" ht="15" customHeight="1" x14ac:dyDescent="0.25">
      <c r="A70" s="111">
        <v>389</v>
      </c>
      <c r="B70" s="122" t="str">
        <f>N70</f>
        <v>Vegetation percent</v>
      </c>
      <c r="C70" s="124" t="s">
        <v>94</v>
      </c>
      <c r="D70" s="150"/>
      <c r="E70" s="150"/>
      <c r="F70" s="150" t="s">
        <v>102</v>
      </c>
      <c r="G70" s="150"/>
      <c r="H70" s="150"/>
      <c r="I70" s="150"/>
      <c r="J70" s="150"/>
      <c r="K70" s="150"/>
      <c r="L70" s="124" t="s">
        <v>539</v>
      </c>
      <c r="M70" s="122" t="s">
        <v>757</v>
      </c>
      <c r="N70" s="122" t="s">
        <v>759</v>
      </c>
      <c r="O70" s="125" t="s">
        <v>115</v>
      </c>
      <c r="P70" s="125" t="s">
        <v>103</v>
      </c>
      <c r="Q70" s="125" t="s">
        <v>103</v>
      </c>
      <c r="R70" s="125" t="s">
        <v>102</v>
      </c>
      <c r="S70" s="125" t="s">
        <v>103</v>
      </c>
      <c r="T70" s="125" t="s">
        <v>103</v>
      </c>
      <c r="U70" s="125" t="s">
        <v>103</v>
      </c>
      <c r="V70" s="123" t="s">
        <v>1126</v>
      </c>
      <c r="W70" s="123" t="s">
        <v>1074</v>
      </c>
      <c r="X70" s="123" t="s">
        <v>940</v>
      </c>
      <c r="Y70" s="122"/>
      <c r="Z70" s="122"/>
      <c r="AA70" s="127">
        <v>13</v>
      </c>
      <c r="AB70" s="127"/>
      <c r="AC70" s="125" t="s">
        <v>151</v>
      </c>
      <c r="AD70" s="124"/>
      <c r="AE70" s="124"/>
      <c r="AF70" s="125"/>
    </row>
    <row r="71" spans="1:32" ht="15" customHeight="1" x14ac:dyDescent="0.25">
      <c r="A71" s="111">
        <v>3</v>
      </c>
      <c r="B71" s="122" t="str">
        <f t="shared" ref="B71:B77" si="6">"Access to "&amp;LOWER(N71)</f>
        <v>Access to activity centres</v>
      </c>
      <c r="C71" s="123" t="s">
        <v>97</v>
      </c>
      <c r="D71" s="123"/>
      <c r="E71" s="123"/>
      <c r="F71" s="123"/>
      <c r="G71" s="123"/>
      <c r="H71" s="123"/>
      <c r="I71" s="123" t="s">
        <v>102</v>
      </c>
      <c r="J71" s="123"/>
      <c r="K71" s="123"/>
      <c r="L71" s="124" t="s">
        <v>310</v>
      </c>
      <c r="M71" s="122" t="s">
        <v>784</v>
      </c>
      <c r="N71" s="122" t="s">
        <v>811</v>
      </c>
      <c r="O71" s="122" t="s">
        <v>290</v>
      </c>
      <c r="P71" s="122" t="s">
        <v>102</v>
      </c>
      <c r="Q71" s="125">
        <v>500</v>
      </c>
      <c r="R71" s="122" t="s">
        <v>102</v>
      </c>
      <c r="S71" s="122" t="s">
        <v>102</v>
      </c>
      <c r="T71" s="122" t="s">
        <v>103</v>
      </c>
      <c r="U71" s="122" t="s">
        <v>103</v>
      </c>
      <c r="V71" s="123" t="s">
        <v>1142</v>
      </c>
      <c r="W71" s="123" t="s">
        <v>1143</v>
      </c>
      <c r="X71" s="123" t="s">
        <v>1065</v>
      </c>
      <c r="Y71" s="122"/>
      <c r="Z71" s="122" t="s">
        <v>1329</v>
      </c>
      <c r="AA71" s="126">
        <v>27</v>
      </c>
      <c r="AB71" s="126"/>
      <c r="AC71" s="122"/>
      <c r="AD71" s="124" t="s">
        <v>975</v>
      </c>
      <c r="AE71" s="122" t="s">
        <v>813</v>
      </c>
      <c r="AF71" s="122" t="s">
        <v>1316</v>
      </c>
    </row>
    <row r="72" spans="1:32" ht="15" customHeight="1" x14ac:dyDescent="0.25">
      <c r="A72" s="111">
        <v>125</v>
      </c>
      <c r="B72" s="125" t="str">
        <f t="shared" si="6"/>
        <v>Access to major road</v>
      </c>
      <c r="C72" s="124" t="s">
        <v>93</v>
      </c>
      <c r="D72" s="124"/>
      <c r="E72" s="124" t="s">
        <v>102</v>
      </c>
      <c r="F72" s="124"/>
      <c r="G72" s="124"/>
      <c r="H72" s="124"/>
      <c r="I72" s="124"/>
      <c r="J72" s="124"/>
      <c r="K72" s="124"/>
      <c r="L72" s="124" t="s">
        <v>203</v>
      </c>
      <c r="M72" s="125" t="s">
        <v>784</v>
      </c>
      <c r="N72" s="125" t="s">
        <v>876</v>
      </c>
      <c r="O72" s="125" t="s">
        <v>290</v>
      </c>
      <c r="P72" s="125" t="s">
        <v>102</v>
      </c>
      <c r="Q72" s="125" t="s">
        <v>1339</v>
      </c>
      <c r="R72" s="125" t="s">
        <v>102</v>
      </c>
      <c r="S72" s="125" t="s">
        <v>102</v>
      </c>
      <c r="T72" s="125" t="s">
        <v>103</v>
      </c>
      <c r="U72" s="125" t="s">
        <v>103</v>
      </c>
      <c r="V72" s="124" t="s">
        <v>1338</v>
      </c>
      <c r="W72" s="124" t="s">
        <v>1128</v>
      </c>
      <c r="X72" s="124" t="s">
        <v>940</v>
      </c>
      <c r="Y72" s="125"/>
      <c r="Z72" s="125" t="s">
        <v>1329</v>
      </c>
      <c r="AA72" s="127">
        <v>18</v>
      </c>
      <c r="AB72" s="127"/>
      <c r="AC72" s="125" t="s">
        <v>292</v>
      </c>
      <c r="AD72" s="124"/>
      <c r="AE72" s="124"/>
      <c r="AF72" s="125"/>
    </row>
    <row r="73" spans="1:32" ht="15" customHeight="1" x14ac:dyDescent="0.25">
      <c r="A73" s="111">
        <v>126</v>
      </c>
      <c r="B73" s="122" t="str">
        <f t="shared" si="6"/>
        <v>Access to major road intersection</v>
      </c>
      <c r="C73" s="123" t="s">
        <v>93</v>
      </c>
      <c r="D73" s="123"/>
      <c r="E73" s="123" t="s">
        <v>102</v>
      </c>
      <c r="F73" s="123"/>
      <c r="G73" s="123"/>
      <c r="H73" s="123"/>
      <c r="I73" s="123"/>
      <c r="J73" s="123"/>
      <c r="K73" s="123"/>
      <c r="L73" s="124" t="s">
        <v>203</v>
      </c>
      <c r="M73" s="128" t="s">
        <v>784</v>
      </c>
      <c r="N73" s="132" t="s">
        <v>878</v>
      </c>
      <c r="O73" s="122" t="s">
        <v>290</v>
      </c>
      <c r="P73" s="122" t="s">
        <v>102</v>
      </c>
      <c r="Q73" s="125" t="s">
        <v>1339</v>
      </c>
      <c r="R73" s="122" t="s">
        <v>102</v>
      </c>
      <c r="S73" s="122" t="s">
        <v>102</v>
      </c>
      <c r="T73" s="122" t="s">
        <v>103</v>
      </c>
      <c r="U73" s="122" t="s">
        <v>103</v>
      </c>
      <c r="V73" s="123" t="s">
        <v>1129</v>
      </c>
      <c r="W73" s="123" t="s">
        <v>1104</v>
      </c>
      <c r="X73" s="123" t="s">
        <v>940</v>
      </c>
      <c r="Y73" s="122"/>
      <c r="Z73" s="122" t="s">
        <v>1329</v>
      </c>
      <c r="AA73" s="126">
        <v>18</v>
      </c>
      <c r="AB73" s="126"/>
      <c r="AC73" s="122" t="s">
        <v>292</v>
      </c>
      <c r="AD73" s="124"/>
      <c r="AE73" s="124"/>
    </row>
    <row r="74" spans="1:32" ht="15" customHeight="1" x14ac:dyDescent="0.25">
      <c r="A74" s="111">
        <v>180</v>
      </c>
      <c r="B74" s="123" t="str">
        <f t="shared" si="6"/>
        <v>Access to schools: primary</v>
      </c>
      <c r="C74" s="124" t="s">
        <v>97</v>
      </c>
      <c r="D74" s="124"/>
      <c r="E74" s="124"/>
      <c r="F74" s="124"/>
      <c r="G74" s="124"/>
      <c r="H74" s="124"/>
      <c r="I74" s="124" t="s">
        <v>102</v>
      </c>
      <c r="J74" s="124"/>
      <c r="K74" s="124"/>
      <c r="L74" s="124" t="s">
        <v>424</v>
      </c>
      <c r="M74" s="125" t="s">
        <v>784</v>
      </c>
      <c r="N74" s="125" t="s">
        <v>1136</v>
      </c>
      <c r="O74" s="125" t="s">
        <v>290</v>
      </c>
      <c r="P74" s="125" t="s">
        <v>102</v>
      </c>
      <c r="Q74" s="125" t="s">
        <v>102</v>
      </c>
      <c r="R74" s="125" t="s">
        <v>102</v>
      </c>
      <c r="S74" s="125" t="s">
        <v>102</v>
      </c>
      <c r="T74" s="125" t="s">
        <v>103</v>
      </c>
      <c r="U74" s="125" t="s">
        <v>103</v>
      </c>
      <c r="V74" s="124" t="s">
        <v>1137</v>
      </c>
      <c r="W74" s="124" t="s">
        <v>1138</v>
      </c>
      <c r="X74" s="124" t="s">
        <v>940</v>
      </c>
      <c r="Y74" s="125"/>
      <c r="Z74" s="125" t="s">
        <v>1329</v>
      </c>
      <c r="AA74" s="127">
        <v>18</v>
      </c>
      <c r="AB74" s="127"/>
      <c r="AC74" s="125" t="s">
        <v>292</v>
      </c>
      <c r="AD74" s="124" t="s">
        <v>975</v>
      </c>
      <c r="AE74" s="124"/>
      <c r="AF74" s="125"/>
    </row>
    <row r="75" spans="1:32" ht="15" customHeight="1" x14ac:dyDescent="0.25">
      <c r="A75" s="111">
        <v>246</v>
      </c>
      <c r="B75" s="122" t="str">
        <f t="shared" si="6"/>
        <v>Access to schools: secondary</v>
      </c>
      <c r="C75" s="123" t="s">
        <v>97</v>
      </c>
      <c r="D75" s="123"/>
      <c r="E75" s="123"/>
      <c r="F75" s="123"/>
      <c r="G75" s="123"/>
      <c r="H75" s="123"/>
      <c r="I75" s="123" t="s">
        <v>102</v>
      </c>
      <c r="J75" s="123"/>
      <c r="K75" s="123"/>
      <c r="L75" s="123" t="s">
        <v>424</v>
      </c>
      <c r="M75" s="122" t="s">
        <v>784</v>
      </c>
      <c r="N75" s="122" t="s">
        <v>1083</v>
      </c>
      <c r="O75" s="122" t="s">
        <v>290</v>
      </c>
      <c r="P75" s="122" t="s">
        <v>102</v>
      </c>
      <c r="Q75" s="122" t="s">
        <v>102</v>
      </c>
      <c r="R75" s="122" t="s">
        <v>102</v>
      </c>
      <c r="S75" s="122" t="s">
        <v>102</v>
      </c>
      <c r="T75" s="122" t="s">
        <v>103</v>
      </c>
      <c r="U75" s="122" t="s">
        <v>103</v>
      </c>
      <c r="V75" s="123" t="s">
        <v>1139</v>
      </c>
      <c r="W75" s="123" t="s">
        <v>1138</v>
      </c>
      <c r="X75" s="123" t="s">
        <v>940</v>
      </c>
      <c r="Y75" s="122"/>
      <c r="Z75" s="122" t="s">
        <v>1329</v>
      </c>
      <c r="AA75" s="126">
        <v>18</v>
      </c>
      <c r="AB75" s="126"/>
      <c r="AC75" s="122" t="s">
        <v>292</v>
      </c>
      <c r="AD75" s="124" t="s">
        <v>975</v>
      </c>
      <c r="AE75" s="124"/>
      <c r="AF75" s="122"/>
    </row>
    <row r="76" spans="1:32" ht="15" customHeight="1" x14ac:dyDescent="0.25">
      <c r="A76" s="111">
        <v>379</v>
      </c>
      <c r="B76" s="125" t="str">
        <f t="shared" si="6"/>
        <v>Access to schools: tertiary (universities)</v>
      </c>
      <c r="C76" s="123" t="s">
        <v>97</v>
      </c>
      <c r="D76" s="123"/>
      <c r="E76" s="123"/>
      <c r="F76" s="123"/>
      <c r="G76" s="123"/>
      <c r="H76" s="123"/>
      <c r="I76" s="123" t="s">
        <v>102</v>
      </c>
      <c r="J76" s="123"/>
      <c r="K76" s="123"/>
      <c r="L76" s="123" t="s">
        <v>424</v>
      </c>
      <c r="M76" s="125" t="s">
        <v>784</v>
      </c>
      <c r="N76" s="125" t="s">
        <v>1140</v>
      </c>
      <c r="O76" s="125" t="s">
        <v>290</v>
      </c>
      <c r="P76" s="125" t="s">
        <v>102</v>
      </c>
      <c r="Q76" s="125" t="s">
        <v>102</v>
      </c>
      <c r="R76" s="125" t="s">
        <v>102</v>
      </c>
      <c r="S76" s="125" t="s">
        <v>102</v>
      </c>
      <c r="T76" s="125" t="s">
        <v>103</v>
      </c>
      <c r="U76" s="125" t="s">
        <v>103</v>
      </c>
      <c r="V76" s="124" t="s">
        <v>1141</v>
      </c>
      <c r="W76" s="124" t="s">
        <v>1078</v>
      </c>
      <c r="X76" s="124" t="s">
        <v>940</v>
      </c>
      <c r="Y76" s="125"/>
      <c r="Z76" s="125" t="s">
        <v>1329</v>
      </c>
      <c r="AA76" s="127">
        <v>20</v>
      </c>
      <c r="AB76" s="127"/>
      <c r="AC76" s="125" t="s">
        <v>355</v>
      </c>
      <c r="AD76" s="124" t="s">
        <v>975</v>
      </c>
      <c r="AE76" s="124"/>
      <c r="AF76" s="125"/>
    </row>
    <row r="77" spans="1:32" ht="15" customHeight="1" x14ac:dyDescent="0.25">
      <c r="A77" s="111">
        <v>38</v>
      </c>
      <c r="B77" s="125" t="str">
        <f t="shared" si="6"/>
        <v>Access to city center</v>
      </c>
      <c r="C77" s="133" t="s">
        <v>93</v>
      </c>
      <c r="D77" s="133"/>
      <c r="E77" s="133" t="s">
        <v>102</v>
      </c>
      <c r="F77" s="133"/>
      <c r="G77" s="133"/>
      <c r="H77" s="133"/>
      <c r="I77" s="133"/>
      <c r="J77" s="133"/>
      <c r="K77" s="133"/>
      <c r="L77" s="133" t="s">
        <v>203</v>
      </c>
      <c r="M77" s="132" t="s">
        <v>784</v>
      </c>
      <c r="N77" s="132" t="s">
        <v>865</v>
      </c>
      <c r="O77" s="132" t="s">
        <v>290</v>
      </c>
      <c r="P77" s="132" t="s">
        <v>102</v>
      </c>
      <c r="Q77" s="132" t="s">
        <v>102</v>
      </c>
      <c r="R77" s="132" t="s">
        <v>102</v>
      </c>
      <c r="S77" s="132" t="s">
        <v>102</v>
      </c>
      <c r="T77" s="132" t="s">
        <v>103</v>
      </c>
      <c r="U77" s="132" t="s">
        <v>103</v>
      </c>
      <c r="V77" s="133" t="s">
        <v>1131</v>
      </c>
      <c r="W77" s="133" t="s">
        <v>1104</v>
      </c>
      <c r="X77" s="133" t="s">
        <v>940</v>
      </c>
      <c r="Y77" s="132"/>
      <c r="Z77" s="132" t="s">
        <v>1329</v>
      </c>
      <c r="AA77" s="127">
        <v>18</v>
      </c>
      <c r="AB77" s="127"/>
      <c r="AC77" s="125" t="s">
        <v>292</v>
      </c>
      <c r="AD77" s="125"/>
      <c r="AE77" s="125"/>
      <c r="AF77" s="132"/>
    </row>
    <row r="78" spans="1:32" ht="15" customHeight="1" x14ac:dyDescent="0.25">
      <c r="A78" s="111">
        <v>238</v>
      </c>
      <c r="B78" s="125" t="str">
        <f>N78</f>
        <v>Road density</v>
      </c>
      <c r="C78" s="124" t="s">
        <v>93</v>
      </c>
      <c r="D78" s="149"/>
      <c r="E78" s="149" t="s">
        <v>102</v>
      </c>
      <c r="F78" s="149"/>
      <c r="G78" s="149"/>
      <c r="H78" s="149"/>
      <c r="I78" s="149"/>
      <c r="J78" s="149"/>
      <c r="K78" s="149"/>
      <c r="L78" s="124" t="s">
        <v>203</v>
      </c>
      <c r="M78" s="125" t="s">
        <v>784</v>
      </c>
      <c r="N78" s="125" t="s">
        <v>1340</v>
      </c>
      <c r="O78" s="125" t="s">
        <v>124</v>
      </c>
      <c r="P78" s="125" t="s">
        <v>103</v>
      </c>
      <c r="Q78" s="125" t="s">
        <v>103</v>
      </c>
      <c r="R78" s="125" t="s">
        <v>103</v>
      </c>
      <c r="S78" s="125" t="s">
        <v>102</v>
      </c>
      <c r="T78" s="125" t="s">
        <v>103</v>
      </c>
      <c r="U78" s="125" t="s">
        <v>103</v>
      </c>
      <c r="V78" s="111" t="s">
        <v>1132</v>
      </c>
      <c r="W78" s="111" t="s">
        <v>1133</v>
      </c>
      <c r="X78" s="111" t="s">
        <v>1134</v>
      </c>
      <c r="Y78" s="110"/>
      <c r="Z78" s="110"/>
      <c r="AA78" s="127">
        <v>5</v>
      </c>
      <c r="AB78" s="127"/>
      <c r="AC78" s="125" t="s">
        <v>157</v>
      </c>
      <c r="AD78" s="152" t="s">
        <v>1135</v>
      </c>
      <c r="AE78" s="125"/>
      <c r="AF78" s="125"/>
    </row>
    <row r="79" spans="1:32" ht="15" customHeight="1" x14ac:dyDescent="0.25">
      <c r="A79" s="111">
        <v>362</v>
      </c>
      <c r="B79" s="125" t="str">
        <f>N79</f>
        <v>Street connectivity</v>
      </c>
      <c r="C79" s="124" t="s">
        <v>93</v>
      </c>
      <c r="D79" s="124"/>
      <c r="E79" s="124" t="s">
        <v>102</v>
      </c>
      <c r="F79" s="124"/>
      <c r="G79" s="124"/>
      <c r="H79" s="124"/>
      <c r="I79" s="124"/>
      <c r="J79" s="124"/>
      <c r="K79" s="124"/>
      <c r="L79" s="124" t="s">
        <v>203</v>
      </c>
      <c r="M79" s="122" t="s">
        <v>784</v>
      </c>
      <c r="N79" s="122" t="s">
        <v>798</v>
      </c>
      <c r="O79" s="125" t="s">
        <v>110</v>
      </c>
      <c r="P79" s="125" t="s">
        <v>103</v>
      </c>
      <c r="Q79" s="125" t="s">
        <v>103</v>
      </c>
      <c r="R79" s="125" t="s">
        <v>103</v>
      </c>
      <c r="S79" s="125" t="s">
        <v>103</v>
      </c>
      <c r="T79" s="125" t="s">
        <v>103</v>
      </c>
      <c r="U79" s="125" t="s">
        <v>102</v>
      </c>
      <c r="V79" s="111" t="s">
        <v>1130</v>
      </c>
      <c r="W79" s="111" t="s">
        <v>1054</v>
      </c>
      <c r="X79" s="111" t="s">
        <v>940</v>
      </c>
      <c r="Y79" s="110"/>
      <c r="Z79" s="110"/>
      <c r="AA79" s="127">
        <v>23</v>
      </c>
      <c r="AB79" s="127"/>
      <c r="AC79" s="125" t="s">
        <v>515</v>
      </c>
      <c r="AD79" s="125"/>
      <c r="AE79" s="125"/>
      <c r="AF79" s="125" t="s">
        <v>996</v>
      </c>
    </row>
    <row r="80" spans="1:32" ht="15" customHeight="1" x14ac:dyDescent="0.25">
      <c r="A80" s="111">
        <v>62</v>
      </c>
      <c r="B80" s="122" t="str">
        <f>N80</f>
        <v>Level of cycling traffic stress</v>
      </c>
      <c r="C80" s="123" t="s">
        <v>99</v>
      </c>
      <c r="D80" s="123"/>
      <c r="E80" s="123"/>
      <c r="F80" s="123"/>
      <c r="G80" s="123"/>
      <c r="H80" s="123"/>
      <c r="I80" s="123"/>
      <c r="J80" s="123"/>
      <c r="K80" s="123" t="s">
        <v>102</v>
      </c>
      <c r="L80" s="123" t="s">
        <v>390</v>
      </c>
      <c r="M80" s="122" t="s">
        <v>1145</v>
      </c>
      <c r="N80" s="122" t="s">
        <v>1332</v>
      </c>
      <c r="O80" s="122" t="s">
        <v>115</v>
      </c>
      <c r="P80" s="122" t="s">
        <v>103</v>
      </c>
      <c r="Q80" s="122" t="s">
        <v>103</v>
      </c>
      <c r="R80" s="122"/>
      <c r="S80" s="122" t="s">
        <v>103</v>
      </c>
      <c r="T80" s="122" t="s">
        <v>103</v>
      </c>
      <c r="U80" s="122" t="s">
        <v>102</v>
      </c>
      <c r="V80" s="123" t="s">
        <v>1146</v>
      </c>
      <c r="W80" s="123" t="s">
        <v>1059</v>
      </c>
      <c r="X80" s="123" t="s">
        <v>940</v>
      </c>
      <c r="Y80" s="122"/>
      <c r="Z80" s="122" t="s">
        <v>1333</v>
      </c>
      <c r="AA80" s="126">
        <v>23</v>
      </c>
      <c r="AB80" s="126"/>
      <c r="AC80" s="122" t="s">
        <v>795</v>
      </c>
      <c r="AD80" s="122"/>
      <c r="AE80" s="122"/>
      <c r="AF80" s="122" t="s">
        <v>1313</v>
      </c>
    </row>
    <row r="81" spans="1:32" ht="15" customHeight="1" x14ac:dyDescent="0.25">
      <c r="A81" s="111">
        <v>341</v>
      </c>
      <c r="B81" s="125" t="str">
        <f>N81</f>
        <v>Annual hazardous waste (kg)</v>
      </c>
      <c r="C81" s="124" t="s">
        <v>1023</v>
      </c>
      <c r="D81" s="124" t="s">
        <v>102</v>
      </c>
      <c r="E81" s="124"/>
      <c r="F81" s="124" t="s">
        <v>102</v>
      </c>
      <c r="G81" s="124"/>
      <c r="H81" s="124"/>
      <c r="I81" s="124"/>
      <c r="J81" s="124"/>
      <c r="K81" s="124"/>
      <c r="L81" s="124" t="s">
        <v>226</v>
      </c>
      <c r="M81" s="125" t="s">
        <v>890</v>
      </c>
      <c r="N81" s="125" t="s">
        <v>900</v>
      </c>
      <c r="O81" s="125" t="s">
        <v>115</v>
      </c>
      <c r="P81" s="125" t="s">
        <v>103</v>
      </c>
      <c r="Q81" s="125" t="s">
        <v>103</v>
      </c>
      <c r="R81" s="125" t="s">
        <v>102</v>
      </c>
      <c r="S81" s="125" t="s">
        <v>103</v>
      </c>
      <c r="T81" s="125" t="s">
        <v>103</v>
      </c>
      <c r="U81" s="125" t="s">
        <v>103</v>
      </c>
      <c r="V81" s="111" t="s">
        <v>1147</v>
      </c>
      <c r="W81" s="111" t="s">
        <v>1103</v>
      </c>
      <c r="X81" s="111" t="s">
        <v>940</v>
      </c>
      <c r="Y81" s="110">
        <v>1</v>
      </c>
      <c r="Z81" s="110"/>
      <c r="AA81" s="127">
        <v>13</v>
      </c>
      <c r="AB81" s="127"/>
      <c r="AC81" s="125" t="s">
        <v>151</v>
      </c>
      <c r="AD81" s="125"/>
      <c r="AE81" s="125" t="s">
        <v>1148</v>
      </c>
      <c r="AF81" s="125"/>
    </row>
    <row r="82" spans="1:32" ht="15" customHeight="1" x14ac:dyDescent="0.25">
      <c r="A82" s="111">
        <v>10</v>
      </c>
      <c r="B82" s="125" t="str">
        <f>"Access to "&amp;LOWER(N82)</f>
        <v>Access to blue space</v>
      </c>
      <c r="C82" s="124" t="s">
        <v>94</v>
      </c>
      <c r="D82" s="124"/>
      <c r="E82" s="124"/>
      <c r="F82" s="124" t="s">
        <v>102</v>
      </c>
      <c r="G82" s="124"/>
      <c r="H82" s="124"/>
      <c r="I82" s="124"/>
      <c r="J82" s="124"/>
      <c r="K82" s="124"/>
      <c r="L82" s="125" t="s">
        <v>194</v>
      </c>
      <c r="M82" s="125" t="s">
        <v>906</v>
      </c>
      <c r="N82" s="125" t="s">
        <v>908</v>
      </c>
      <c r="O82" s="125" t="s">
        <v>115</v>
      </c>
      <c r="P82" s="125" t="s">
        <v>102</v>
      </c>
      <c r="Q82" s="125">
        <v>500</v>
      </c>
      <c r="R82" s="125" t="s">
        <v>102</v>
      </c>
      <c r="S82" s="125" t="s">
        <v>102</v>
      </c>
      <c r="T82" s="125" t="s">
        <v>103</v>
      </c>
      <c r="U82" s="125" t="s">
        <v>103</v>
      </c>
      <c r="V82" s="124" t="s">
        <v>1150</v>
      </c>
      <c r="W82" s="124" t="s">
        <v>1028</v>
      </c>
      <c r="X82" s="124" t="s">
        <v>1151</v>
      </c>
      <c r="Y82" s="136">
        <v>1</v>
      </c>
      <c r="Z82" s="125" t="s">
        <v>1329</v>
      </c>
      <c r="AA82" s="127">
        <v>28</v>
      </c>
      <c r="AB82" s="127"/>
      <c r="AC82" s="125" t="s">
        <v>918</v>
      </c>
      <c r="AD82" s="125" t="s">
        <v>919</v>
      </c>
      <c r="AE82" s="125"/>
      <c r="AF82" s="125" t="s">
        <v>1152</v>
      </c>
    </row>
    <row r="83" spans="1:32" ht="15" customHeight="1" x14ac:dyDescent="0.25">
      <c r="A83" s="111">
        <v>0</v>
      </c>
      <c r="B83" s="122" t="s">
        <v>1153</v>
      </c>
      <c r="C83" s="123"/>
      <c r="D83" s="123"/>
      <c r="E83" s="123"/>
      <c r="F83" s="123"/>
      <c r="G83" s="123"/>
      <c r="H83" s="123"/>
      <c r="I83" s="123"/>
      <c r="J83" s="123"/>
      <c r="K83" s="123"/>
      <c r="L83" s="123"/>
      <c r="M83" s="122"/>
      <c r="N83" s="125"/>
      <c r="O83" s="122"/>
      <c r="P83" s="122" t="s">
        <v>102</v>
      </c>
      <c r="Q83" s="122" t="s">
        <v>102</v>
      </c>
      <c r="R83" s="122" t="s">
        <v>102</v>
      </c>
      <c r="S83" s="122" t="s">
        <v>102</v>
      </c>
      <c r="T83" s="122" t="s">
        <v>102</v>
      </c>
      <c r="U83" s="122" t="s">
        <v>102</v>
      </c>
      <c r="V83" s="123"/>
      <c r="W83" s="123"/>
      <c r="X83" s="123"/>
      <c r="Y83" s="122"/>
      <c r="Z83" s="122"/>
      <c r="AA83" s="126"/>
      <c r="AB83" s="126"/>
      <c r="AC83" s="122"/>
      <c r="AD83" s="124"/>
      <c r="AE83" s="124"/>
    </row>
    <row r="84" spans="1:32" ht="15" customHeight="1" x14ac:dyDescent="0.25">
      <c r="A84" s="111">
        <v>335</v>
      </c>
      <c r="B84" s="125" t="str">
        <f>N84</f>
        <v>Urbanization rate</v>
      </c>
      <c r="C84" s="124" t="s">
        <v>98</v>
      </c>
      <c r="D84" s="124"/>
      <c r="E84" s="124"/>
      <c r="F84" s="124"/>
      <c r="G84" s="124"/>
      <c r="H84" s="124"/>
      <c r="I84" s="124"/>
      <c r="J84" s="124" t="s">
        <v>102</v>
      </c>
      <c r="K84" s="124"/>
      <c r="L84" s="124" t="s">
        <v>135</v>
      </c>
      <c r="N84" s="125" t="s">
        <v>137</v>
      </c>
      <c r="O84" s="125"/>
      <c r="P84" s="125" t="s">
        <v>103</v>
      </c>
      <c r="Q84" s="125" t="s">
        <v>103</v>
      </c>
      <c r="R84" s="125" t="s">
        <v>103</v>
      </c>
      <c r="S84" s="125" t="s">
        <v>103</v>
      </c>
      <c r="T84" s="125" t="s">
        <v>103</v>
      </c>
      <c r="U84" s="125" t="s">
        <v>103</v>
      </c>
      <c r="V84" s="124" t="s">
        <v>1154</v>
      </c>
      <c r="W84" s="124" t="s">
        <v>1155</v>
      </c>
      <c r="X84" s="124" t="s">
        <v>1156</v>
      </c>
      <c r="Y84" s="136"/>
      <c r="Z84" s="125"/>
      <c r="AA84" s="127">
        <v>3</v>
      </c>
      <c r="AB84" s="127"/>
      <c r="AC84" s="125" t="s">
        <v>122</v>
      </c>
      <c r="AD84" s="124" t="s">
        <v>1055</v>
      </c>
      <c r="AE84" s="124" t="s">
        <v>1157</v>
      </c>
      <c r="AF84" s="125"/>
    </row>
    <row r="85" spans="1:32" ht="15" customHeight="1" x14ac:dyDescent="0.25">
      <c r="B85" s="125"/>
      <c r="C85" s="124"/>
      <c r="D85" s="124"/>
      <c r="E85" s="124"/>
      <c r="F85" s="124"/>
      <c r="G85" s="124"/>
      <c r="H85" s="124"/>
      <c r="I85" s="124"/>
      <c r="J85" s="124"/>
      <c r="K85" s="124"/>
      <c r="L85" s="124"/>
      <c r="M85" s="125"/>
      <c r="N85" s="125"/>
      <c r="O85" s="125"/>
      <c r="P85" s="125"/>
      <c r="Q85" s="125"/>
      <c r="R85" s="125"/>
      <c r="S85" s="125"/>
      <c r="T85" s="125"/>
      <c r="U85" s="125"/>
      <c r="V85" s="124"/>
      <c r="Y85" s="110"/>
      <c r="Z85" s="110"/>
      <c r="AA85" s="110"/>
      <c r="AB85" s="127"/>
      <c r="AC85" s="125"/>
      <c r="AD85" s="127"/>
      <c r="AE85" s="125"/>
      <c r="AF85" s="125"/>
    </row>
    <row r="86" spans="1:32" ht="15" customHeight="1" x14ac:dyDescent="0.25">
      <c r="B86" s="122"/>
      <c r="C86" s="123"/>
      <c r="D86" s="123"/>
      <c r="E86" s="123"/>
      <c r="F86" s="123"/>
      <c r="G86" s="123"/>
      <c r="H86" s="123"/>
      <c r="I86" s="123"/>
      <c r="J86" s="123"/>
      <c r="K86" s="123"/>
      <c r="L86" s="123"/>
      <c r="N86" s="122"/>
      <c r="O86" s="122"/>
      <c r="P86" s="122"/>
      <c r="Q86" s="122"/>
      <c r="R86" s="122"/>
      <c r="S86" s="122"/>
      <c r="T86" s="122"/>
      <c r="U86" s="122"/>
      <c r="V86" s="124"/>
      <c r="Y86" s="110"/>
      <c r="Z86" s="110"/>
      <c r="AA86" s="110"/>
      <c r="AB86" s="126"/>
      <c r="AC86" s="122"/>
      <c r="AD86" s="126"/>
      <c r="AE86" s="125"/>
      <c r="AF86" s="125"/>
    </row>
    <row r="87" spans="1:32" ht="15" customHeight="1" x14ac:dyDescent="0.25">
      <c r="B87" s="125"/>
      <c r="C87" s="124"/>
      <c r="D87" s="124"/>
      <c r="E87" s="124"/>
      <c r="F87" s="124"/>
      <c r="G87" s="124"/>
      <c r="H87" s="124"/>
      <c r="I87" s="124"/>
      <c r="J87" s="124"/>
      <c r="K87" s="124"/>
      <c r="L87" s="124"/>
      <c r="M87" s="122"/>
      <c r="N87" s="122"/>
      <c r="O87" s="125"/>
      <c r="P87" s="125"/>
      <c r="Q87" s="125"/>
      <c r="R87" s="125"/>
      <c r="S87" s="125"/>
      <c r="T87" s="125"/>
      <c r="U87" s="125"/>
      <c r="V87" s="124"/>
      <c r="Y87" s="110"/>
      <c r="Z87" s="110"/>
      <c r="AA87" s="110"/>
      <c r="AB87" s="127"/>
      <c r="AC87" s="125"/>
      <c r="AD87" s="127"/>
      <c r="AE87" s="125"/>
      <c r="AF87" s="125"/>
    </row>
    <row r="88" spans="1:32" ht="15" customHeight="1" x14ac:dyDescent="0.25">
      <c r="B88" s="125"/>
      <c r="C88" s="124"/>
      <c r="D88" s="124"/>
      <c r="E88" s="124"/>
      <c r="F88" s="124"/>
      <c r="G88" s="124"/>
      <c r="H88" s="124"/>
      <c r="I88" s="124"/>
      <c r="J88" s="124"/>
      <c r="K88" s="124"/>
      <c r="L88" s="124"/>
      <c r="M88" s="122"/>
      <c r="N88" s="122"/>
      <c r="O88" s="125"/>
      <c r="P88" s="125"/>
      <c r="Q88" s="125"/>
      <c r="R88" s="125"/>
      <c r="S88" s="125"/>
      <c r="T88" s="125"/>
      <c r="U88" s="125"/>
      <c r="V88" s="124"/>
      <c r="Y88" s="110"/>
      <c r="Z88" s="110"/>
      <c r="AA88" s="110"/>
      <c r="AB88" s="127"/>
      <c r="AC88" s="125"/>
      <c r="AD88" s="127"/>
      <c r="AE88" s="125"/>
      <c r="AF88" s="125"/>
    </row>
    <row r="89" spans="1:32" ht="15" customHeight="1" x14ac:dyDescent="0.25">
      <c r="B89" s="125"/>
      <c r="C89" s="124"/>
      <c r="D89" s="124"/>
      <c r="E89" s="124"/>
      <c r="F89" s="124"/>
      <c r="G89" s="124"/>
      <c r="H89" s="124"/>
      <c r="I89" s="124"/>
      <c r="J89" s="124"/>
      <c r="K89" s="124"/>
      <c r="L89" s="124"/>
      <c r="M89" s="125"/>
      <c r="N89" s="125"/>
      <c r="O89" s="125"/>
      <c r="P89" s="125"/>
      <c r="Q89" s="125"/>
      <c r="R89" s="125"/>
      <c r="S89" s="125"/>
      <c r="T89" s="125"/>
      <c r="U89" s="125"/>
      <c r="V89" s="124"/>
      <c r="Y89" s="110"/>
      <c r="Z89" s="110"/>
      <c r="AA89" s="110"/>
      <c r="AB89" s="127"/>
      <c r="AC89" s="125"/>
      <c r="AD89" s="127"/>
      <c r="AE89" s="125"/>
      <c r="AF89" s="125"/>
    </row>
    <row r="90" spans="1:32" ht="15" customHeight="1" x14ac:dyDescent="0.25">
      <c r="B90" s="125"/>
      <c r="C90" s="124"/>
      <c r="D90" s="124"/>
      <c r="E90" s="124"/>
      <c r="F90" s="124"/>
      <c r="G90" s="124"/>
      <c r="H90" s="124"/>
      <c r="I90" s="124"/>
      <c r="J90" s="124"/>
      <c r="K90" s="124"/>
      <c r="L90" s="124"/>
      <c r="M90" s="122"/>
      <c r="N90" s="125"/>
      <c r="O90" s="125"/>
      <c r="P90" s="125"/>
      <c r="Q90" s="125"/>
      <c r="R90" s="125"/>
      <c r="S90" s="125"/>
      <c r="T90" s="125"/>
      <c r="U90" s="125"/>
      <c r="V90" s="124"/>
      <c r="Y90" s="110"/>
      <c r="Z90" s="110"/>
      <c r="AA90" s="110"/>
      <c r="AB90" s="127"/>
      <c r="AC90" s="125"/>
      <c r="AD90" s="127"/>
      <c r="AE90" s="125"/>
      <c r="AF90" s="125"/>
    </row>
    <row r="91" spans="1:32" ht="15" customHeight="1" x14ac:dyDescent="0.25">
      <c r="B91" s="125"/>
      <c r="C91" s="124"/>
      <c r="D91" s="124"/>
      <c r="E91" s="124"/>
      <c r="F91" s="124"/>
      <c r="G91" s="124"/>
      <c r="H91" s="124"/>
      <c r="I91" s="124"/>
      <c r="J91" s="124"/>
      <c r="K91" s="124"/>
      <c r="L91" s="124"/>
      <c r="M91" s="122"/>
      <c r="N91" s="125"/>
      <c r="O91" s="125"/>
      <c r="P91" s="125"/>
      <c r="Q91" s="125"/>
      <c r="R91" s="125"/>
      <c r="S91" s="125"/>
      <c r="T91" s="125"/>
      <c r="U91" s="125"/>
      <c r="V91" s="124"/>
      <c r="Y91" s="110"/>
      <c r="Z91" s="110"/>
      <c r="AA91" s="110"/>
      <c r="AB91" s="127"/>
      <c r="AC91" s="125"/>
      <c r="AD91" s="127"/>
      <c r="AE91" s="125"/>
      <c r="AF91" s="125"/>
    </row>
    <row r="92" spans="1:32" ht="15" customHeight="1" x14ac:dyDescent="0.25">
      <c r="B92" s="122"/>
      <c r="C92" s="123"/>
      <c r="D92" s="123"/>
      <c r="E92" s="123"/>
      <c r="F92" s="123"/>
      <c r="G92" s="123"/>
      <c r="H92" s="123"/>
      <c r="I92" s="123"/>
      <c r="J92" s="123"/>
      <c r="K92" s="123"/>
      <c r="L92" s="123"/>
      <c r="M92" s="122"/>
      <c r="N92" s="125"/>
      <c r="O92" s="122"/>
      <c r="P92" s="122"/>
      <c r="Q92" s="122"/>
      <c r="R92" s="122"/>
      <c r="S92" s="122"/>
      <c r="T92" s="122"/>
      <c r="U92" s="122"/>
      <c r="V92" s="124"/>
      <c r="Y92" s="110"/>
      <c r="Z92" s="110"/>
      <c r="AA92" s="110"/>
      <c r="AB92" s="126"/>
      <c r="AC92" s="125"/>
      <c r="AD92" s="126"/>
      <c r="AE92" s="125"/>
      <c r="AF92" s="125"/>
    </row>
    <row r="93" spans="1:32" ht="15" customHeight="1" x14ac:dyDescent="0.25">
      <c r="B93" s="125"/>
      <c r="C93" s="124"/>
      <c r="D93" s="124"/>
      <c r="E93" s="124"/>
      <c r="F93" s="124"/>
      <c r="G93" s="124"/>
      <c r="H93" s="124"/>
      <c r="I93" s="124"/>
      <c r="J93" s="124"/>
      <c r="K93" s="124"/>
      <c r="L93" s="124"/>
      <c r="M93" s="125"/>
      <c r="N93" s="125"/>
      <c r="O93" s="125"/>
      <c r="P93" s="125"/>
      <c r="Q93" s="125"/>
      <c r="R93" s="125"/>
      <c r="S93" s="125"/>
      <c r="T93" s="125"/>
      <c r="U93" s="125"/>
      <c r="V93" s="124"/>
      <c r="Y93" s="110"/>
      <c r="Z93" s="110"/>
      <c r="AA93" s="110"/>
      <c r="AB93" s="127"/>
      <c r="AC93" s="125"/>
      <c r="AD93" s="127"/>
      <c r="AE93" s="125"/>
      <c r="AF93" s="125"/>
    </row>
    <row r="94" spans="1:32" ht="15" customHeight="1" x14ac:dyDescent="0.25">
      <c r="B94" s="125"/>
      <c r="C94" s="124"/>
      <c r="D94" s="124"/>
      <c r="E94" s="124"/>
      <c r="F94" s="124"/>
      <c r="G94" s="124"/>
      <c r="H94" s="124"/>
      <c r="I94" s="124"/>
      <c r="J94" s="124"/>
      <c r="K94" s="124"/>
      <c r="L94" s="124"/>
      <c r="M94" s="125"/>
      <c r="N94" s="125"/>
      <c r="O94" s="125"/>
      <c r="P94" s="125"/>
      <c r="Q94" s="125"/>
      <c r="R94" s="125"/>
      <c r="S94" s="125"/>
      <c r="T94" s="125"/>
      <c r="U94" s="125"/>
      <c r="V94" s="124"/>
      <c r="Y94" s="110"/>
      <c r="Z94" s="110"/>
      <c r="AA94" s="110"/>
      <c r="AB94" s="127"/>
      <c r="AC94" s="125"/>
      <c r="AD94" s="127"/>
      <c r="AE94" s="125"/>
      <c r="AF94" s="125"/>
    </row>
    <row r="95" spans="1:32" ht="15" customHeight="1" x14ac:dyDescent="0.25">
      <c r="B95" s="125"/>
      <c r="C95" s="124"/>
      <c r="D95" s="124"/>
      <c r="E95" s="124"/>
      <c r="F95" s="124"/>
      <c r="G95" s="124"/>
      <c r="H95" s="124"/>
      <c r="I95" s="124"/>
      <c r="J95" s="124"/>
      <c r="K95" s="124"/>
      <c r="L95" s="124"/>
      <c r="M95" s="125"/>
      <c r="N95" s="125"/>
      <c r="O95" s="125"/>
      <c r="P95" s="125"/>
      <c r="Q95" s="125"/>
      <c r="R95" s="125"/>
      <c r="S95" s="125"/>
      <c r="T95" s="125"/>
      <c r="U95" s="125"/>
      <c r="V95" s="124"/>
      <c r="Y95" s="110"/>
      <c r="Z95" s="110"/>
      <c r="AA95" s="110"/>
      <c r="AB95" s="127"/>
      <c r="AC95" s="125"/>
      <c r="AD95" s="127"/>
      <c r="AE95" s="125"/>
      <c r="AF95" s="125"/>
    </row>
    <row r="96" spans="1:32" ht="15" customHeight="1" x14ac:dyDescent="0.25">
      <c r="B96" s="125"/>
      <c r="C96" s="124"/>
      <c r="D96" s="124"/>
      <c r="E96" s="124"/>
      <c r="F96" s="124"/>
      <c r="G96" s="124"/>
      <c r="H96" s="124"/>
      <c r="I96" s="124"/>
      <c r="J96" s="124"/>
      <c r="K96" s="124"/>
      <c r="L96" s="124"/>
      <c r="M96" s="125"/>
      <c r="N96" s="125"/>
      <c r="O96" s="125"/>
      <c r="P96" s="125"/>
      <c r="Q96" s="125"/>
      <c r="R96" s="125"/>
      <c r="S96" s="125"/>
      <c r="T96" s="125"/>
      <c r="U96" s="125"/>
      <c r="V96" s="124"/>
      <c r="Y96" s="110"/>
      <c r="Z96" s="110"/>
      <c r="AA96" s="110"/>
      <c r="AB96" s="127"/>
      <c r="AC96" s="125"/>
      <c r="AD96" s="127"/>
      <c r="AE96" s="125"/>
      <c r="AF96" s="125"/>
    </row>
    <row r="97" spans="2:32" ht="15" customHeight="1" x14ac:dyDescent="0.25">
      <c r="B97" s="125"/>
      <c r="C97" s="124"/>
      <c r="D97" s="124"/>
      <c r="E97" s="124"/>
      <c r="F97" s="124"/>
      <c r="G97" s="124"/>
      <c r="H97" s="124"/>
      <c r="I97" s="124"/>
      <c r="J97" s="124"/>
      <c r="K97" s="124"/>
      <c r="L97" s="124"/>
      <c r="M97" s="125"/>
      <c r="N97" s="125"/>
      <c r="O97" s="125"/>
      <c r="P97" s="125"/>
      <c r="Q97" s="125"/>
      <c r="R97" s="125"/>
      <c r="S97" s="125"/>
      <c r="T97" s="125"/>
      <c r="U97" s="125"/>
      <c r="V97" s="124"/>
      <c r="Y97" s="110"/>
      <c r="Z97" s="110"/>
      <c r="AA97" s="110"/>
      <c r="AB97" s="127"/>
      <c r="AC97" s="125"/>
      <c r="AD97" s="127"/>
      <c r="AE97" s="125"/>
      <c r="AF97" s="125"/>
    </row>
    <row r="98" spans="2:32" ht="15" customHeight="1" x14ac:dyDescent="0.25">
      <c r="B98" s="128"/>
      <c r="C98" s="129"/>
      <c r="D98" s="129"/>
      <c r="E98" s="129"/>
      <c r="F98" s="129"/>
      <c r="G98" s="129"/>
      <c r="H98" s="129"/>
      <c r="I98" s="129"/>
      <c r="J98" s="129"/>
      <c r="K98" s="129"/>
      <c r="L98" s="129"/>
      <c r="M98" s="128"/>
      <c r="N98" s="125"/>
      <c r="O98" s="128"/>
      <c r="P98" s="128"/>
      <c r="Q98" s="128"/>
      <c r="R98" s="128"/>
      <c r="S98" s="128"/>
      <c r="T98" s="128"/>
      <c r="U98" s="128"/>
      <c r="V98" s="123"/>
      <c r="Y98" s="110"/>
      <c r="Z98" s="110"/>
      <c r="AA98" s="110"/>
      <c r="AB98" s="126"/>
      <c r="AC98" s="122"/>
      <c r="AD98" s="126"/>
      <c r="AE98" s="122"/>
      <c r="AF98" s="122"/>
    </row>
    <row r="99" spans="2:32" ht="15" customHeight="1" x14ac:dyDescent="0.25">
      <c r="B99" s="125"/>
      <c r="C99" s="124"/>
      <c r="D99" s="124"/>
      <c r="E99" s="124"/>
      <c r="F99" s="124"/>
      <c r="G99" s="124"/>
      <c r="H99" s="124"/>
      <c r="I99" s="124"/>
      <c r="J99" s="124"/>
      <c r="K99" s="124"/>
      <c r="L99" s="124"/>
      <c r="M99" s="125"/>
      <c r="N99" s="125"/>
      <c r="O99" s="125"/>
      <c r="P99" s="125"/>
      <c r="Q99" s="125"/>
      <c r="R99" s="125"/>
      <c r="S99" s="125"/>
      <c r="T99" s="125"/>
      <c r="U99" s="125"/>
      <c r="V99" s="124"/>
      <c r="Y99" s="110"/>
      <c r="Z99" s="110"/>
      <c r="AA99" s="110"/>
      <c r="AB99" s="127"/>
      <c r="AC99" s="125"/>
      <c r="AD99" s="127"/>
      <c r="AE99" s="125"/>
      <c r="AF99" s="125"/>
    </row>
    <row r="100" spans="2:32" ht="15" customHeight="1" x14ac:dyDescent="0.25">
      <c r="B100" s="125"/>
      <c r="C100" s="124"/>
      <c r="D100" s="124"/>
      <c r="E100" s="124"/>
      <c r="F100" s="124"/>
      <c r="G100" s="124"/>
      <c r="H100" s="124"/>
      <c r="I100" s="124"/>
      <c r="J100" s="124"/>
      <c r="K100" s="124"/>
      <c r="L100" s="124"/>
      <c r="M100" s="125"/>
      <c r="N100" s="125"/>
      <c r="O100" s="125"/>
      <c r="P100" s="125"/>
      <c r="Q100" s="125"/>
      <c r="R100" s="125"/>
      <c r="S100" s="125"/>
      <c r="T100" s="125"/>
      <c r="U100" s="125"/>
      <c r="V100" s="124"/>
      <c r="Y100" s="110"/>
      <c r="Z100" s="110"/>
      <c r="AA100" s="110"/>
      <c r="AB100" s="127"/>
      <c r="AC100" s="125"/>
      <c r="AD100" s="127"/>
      <c r="AE100" s="125"/>
      <c r="AF100" s="125"/>
    </row>
    <row r="101" spans="2:32" ht="15" customHeight="1" x14ac:dyDescent="0.25">
      <c r="B101" s="125"/>
      <c r="C101" s="124"/>
      <c r="D101" s="124"/>
      <c r="E101" s="124"/>
      <c r="F101" s="124"/>
      <c r="G101" s="124"/>
      <c r="H101" s="124"/>
      <c r="I101" s="124"/>
      <c r="J101" s="124"/>
      <c r="K101" s="124"/>
      <c r="L101" s="124"/>
      <c r="M101" s="125"/>
      <c r="N101" s="125"/>
      <c r="O101" s="125"/>
      <c r="P101" s="125"/>
      <c r="Q101" s="125"/>
      <c r="R101" s="125"/>
      <c r="S101" s="125"/>
      <c r="T101" s="125"/>
      <c r="U101" s="125"/>
      <c r="V101" s="124"/>
      <c r="Y101" s="110"/>
      <c r="Z101" s="110"/>
      <c r="AA101" s="110"/>
      <c r="AB101" s="127"/>
      <c r="AC101" s="125"/>
      <c r="AD101" s="127"/>
      <c r="AE101" s="125"/>
      <c r="AF101" s="125"/>
    </row>
    <row r="102" spans="2:32" ht="15" customHeight="1" x14ac:dyDescent="0.25">
      <c r="B102" s="125"/>
      <c r="C102" s="124"/>
      <c r="D102" s="124"/>
      <c r="E102" s="124"/>
      <c r="F102" s="124"/>
      <c r="G102" s="124"/>
      <c r="H102" s="124"/>
      <c r="I102" s="124"/>
      <c r="J102" s="124"/>
      <c r="K102" s="124"/>
      <c r="L102" s="124"/>
      <c r="M102" s="125"/>
      <c r="N102" s="125"/>
      <c r="O102" s="125"/>
      <c r="P102" s="125"/>
      <c r="Q102" s="125"/>
      <c r="R102" s="125"/>
      <c r="S102" s="125"/>
      <c r="T102" s="125"/>
      <c r="U102" s="125"/>
      <c r="V102" s="124"/>
      <c r="Y102" s="110"/>
      <c r="Z102" s="110"/>
      <c r="AA102" s="110"/>
      <c r="AB102" s="127"/>
      <c r="AC102" s="125"/>
      <c r="AD102" s="127"/>
      <c r="AE102" s="125"/>
      <c r="AF102" s="125"/>
    </row>
    <row r="103" spans="2:32" ht="15" customHeight="1" x14ac:dyDescent="0.25">
      <c r="B103" s="132"/>
      <c r="C103" s="133"/>
      <c r="D103" s="133"/>
      <c r="E103" s="133"/>
      <c r="F103" s="133"/>
      <c r="G103" s="133"/>
      <c r="H103" s="133"/>
      <c r="I103" s="133"/>
      <c r="J103" s="133"/>
      <c r="K103" s="133"/>
      <c r="M103" s="132"/>
      <c r="N103" s="132"/>
      <c r="O103" s="132"/>
      <c r="P103" s="132"/>
      <c r="Q103" s="132"/>
      <c r="R103" s="132"/>
      <c r="S103" s="132"/>
      <c r="T103" s="132"/>
      <c r="U103" s="132"/>
      <c r="V103" s="124"/>
      <c r="W103" s="133"/>
      <c r="X103" s="133"/>
      <c r="Y103" s="132"/>
      <c r="Z103" s="132"/>
      <c r="AA103" s="132"/>
      <c r="AB103" s="134"/>
      <c r="AC103" s="132"/>
      <c r="AD103" s="134"/>
      <c r="AE103" s="124"/>
      <c r="AF103" s="124"/>
    </row>
    <row r="104" spans="2:32" ht="15" customHeight="1" x14ac:dyDescent="0.25">
      <c r="B104" s="122"/>
      <c r="C104" s="123"/>
      <c r="D104" s="123"/>
      <c r="E104" s="123"/>
      <c r="F104" s="123"/>
      <c r="G104" s="123"/>
      <c r="H104" s="123"/>
      <c r="I104" s="123"/>
      <c r="J104" s="123"/>
      <c r="K104" s="123"/>
      <c r="L104" s="123"/>
      <c r="M104" s="122"/>
      <c r="N104" s="125"/>
      <c r="O104" s="122"/>
      <c r="P104" s="122"/>
      <c r="Q104" s="122"/>
      <c r="R104" s="122"/>
      <c r="S104" s="122"/>
      <c r="T104" s="122"/>
      <c r="U104" s="122"/>
      <c r="V104" s="123"/>
      <c r="Y104" s="110"/>
      <c r="Z104" s="110"/>
      <c r="AA104" s="110"/>
      <c r="AB104" s="126"/>
      <c r="AC104" s="122"/>
      <c r="AD104" s="126"/>
      <c r="AE104" s="122"/>
      <c r="AF104" s="122"/>
    </row>
    <row r="105" spans="2:32" ht="15" customHeight="1" x14ac:dyDescent="0.25">
      <c r="B105" s="122"/>
      <c r="C105" s="123"/>
      <c r="D105" s="123"/>
      <c r="E105" s="123"/>
      <c r="F105" s="123"/>
      <c r="G105" s="123"/>
      <c r="H105" s="123"/>
      <c r="I105" s="123"/>
      <c r="J105" s="123"/>
      <c r="K105" s="123"/>
      <c r="L105" s="124"/>
      <c r="M105" s="122"/>
      <c r="N105" s="125"/>
      <c r="O105" s="122"/>
      <c r="P105" s="122"/>
      <c r="Q105" s="122"/>
      <c r="R105" s="122"/>
      <c r="S105" s="122"/>
      <c r="T105" s="122"/>
      <c r="U105" s="122"/>
      <c r="V105" s="124"/>
      <c r="W105" s="123"/>
      <c r="X105" s="123"/>
      <c r="Y105" s="122"/>
      <c r="Z105" s="122"/>
      <c r="AA105" s="122"/>
      <c r="AB105" s="126"/>
      <c r="AC105" s="122"/>
      <c r="AD105" s="126"/>
      <c r="AE105" s="124"/>
      <c r="AF105" s="124"/>
    </row>
    <row r="106" spans="2:32" ht="15" customHeight="1" x14ac:dyDescent="0.25">
      <c r="B106" s="122"/>
      <c r="C106" s="124"/>
      <c r="D106" s="123"/>
      <c r="E106" s="123"/>
      <c r="F106" s="123"/>
      <c r="G106" s="123"/>
      <c r="H106" s="123"/>
      <c r="I106" s="123"/>
      <c r="J106" s="123"/>
      <c r="K106" s="123"/>
      <c r="L106" s="125"/>
      <c r="M106" s="122"/>
      <c r="N106" s="122"/>
      <c r="O106" s="122"/>
      <c r="P106" s="122"/>
      <c r="Q106" s="122"/>
      <c r="R106" s="122"/>
      <c r="S106" s="122"/>
      <c r="T106" s="122"/>
      <c r="U106" s="122"/>
      <c r="V106" s="124"/>
      <c r="W106" s="123"/>
      <c r="X106" s="123"/>
      <c r="Y106" s="122"/>
      <c r="Z106" s="122"/>
      <c r="AA106" s="135"/>
      <c r="AB106" s="126"/>
      <c r="AC106" s="122"/>
      <c r="AD106" s="126"/>
      <c r="AE106" s="124"/>
      <c r="AF106" s="124"/>
    </row>
    <row r="107" spans="2:32" ht="15" customHeight="1" x14ac:dyDescent="0.25">
      <c r="B107" s="128"/>
      <c r="C107" s="124"/>
      <c r="D107" s="129"/>
      <c r="E107" s="129"/>
      <c r="F107" s="129"/>
      <c r="G107" s="129"/>
      <c r="H107" s="129"/>
      <c r="I107" s="129"/>
      <c r="J107" s="129"/>
      <c r="K107" s="129"/>
      <c r="L107" s="129"/>
      <c r="M107" s="128"/>
      <c r="N107" s="128"/>
      <c r="O107" s="128"/>
      <c r="P107" s="128"/>
      <c r="Q107" s="128"/>
      <c r="R107" s="128"/>
      <c r="S107" s="128"/>
      <c r="T107" s="128"/>
      <c r="U107" s="128"/>
      <c r="V107" s="123"/>
      <c r="W107" s="129"/>
      <c r="X107" s="129"/>
      <c r="Y107" s="137"/>
      <c r="Z107" s="137"/>
      <c r="AA107" s="137"/>
      <c r="AB107" s="126"/>
      <c r="AC107" s="122"/>
      <c r="AD107" s="126"/>
      <c r="AE107" s="122"/>
      <c r="AF107" s="122"/>
    </row>
    <row r="108" spans="2:32" ht="15" customHeight="1" x14ac:dyDescent="0.25">
      <c r="B108" s="125"/>
      <c r="C108" s="124"/>
      <c r="D108" s="124"/>
      <c r="E108" s="124"/>
      <c r="F108" s="124"/>
      <c r="G108" s="124"/>
      <c r="H108" s="124"/>
      <c r="I108" s="124"/>
      <c r="J108" s="124"/>
      <c r="K108" s="124"/>
      <c r="L108" s="124"/>
      <c r="M108" s="125"/>
      <c r="N108" s="125"/>
      <c r="O108" s="125"/>
      <c r="P108" s="125"/>
      <c r="Q108" s="125"/>
      <c r="R108" s="125"/>
      <c r="S108" s="125"/>
      <c r="T108" s="125"/>
      <c r="U108" s="125"/>
      <c r="V108" s="124"/>
      <c r="W108" s="124"/>
      <c r="X108" s="124"/>
      <c r="Y108" s="136"/>
      <c r="Z108" s="136"/>
      <c r="AA108" s="136"/>
      <c r="AB108" s="127"/>
      <c r="AC108" s="125"/>
      <c r="AD108" s="127"/>
      <c r="AE108" s="124"/>
      <c r="AF108" s="124"/>
    </row>
    <row r="109" spans="2:32" ht="15" customHeight="1" x14ac:dyDescent="0.25">
      <c r="B109" s="128"/>
      <c r="C109" s="124"/>
      <c r="D109" s="123"/>
      <c r="E109" s="123"/>
      <c r="F109" s="123"/>
      <c r="G109" s="123"/>
      <c r="H109" s="123"/>
      <c r="I109" s="123"/>
      <c r="J109" s="123"/>
      <c r="K109" s="123"/>
      <c r="L109" s="123"/>
      <c r="M109" s="122"/>
      <c r="N109" s="125"/>
      <c r="O109" s="128"/>
      <c r="P109" s="128"/>
      <c r="Q109" s="128"/>
      <c r="R109" s="128"/>
      <c r="S109" s="128"/>
      <c r="T109" s="128"/>
      <c r="U109" s="128"/>
      <c r="V109" s="123"/>
      <c r="W109" s="123"/>
      <c r="X109" s="123"/>
      <c r="Y109" s="135"/>
      <c r="Z109" s="135"/>
      <c r="AA109" s="135"/>
      <c r="AB109" s="126"/>
      <c r="AC109" s="122"/>
      <c r="AD109" s="126"/>
      <c r="AE109" s="122"/>
      <c r="AF109" s="122"/>
    </row>
    <row r="110" spans="2:32" ht="15" customHeight="1" x14ac:dyDescent="0.25">
      <c r="B110" s="125"/>
      <c r="C110" s="124"/>
      <c r="D110" s="124"/>
      <c r="E110" s="124"/>
      <c r="F110" s="124"/>
      <c r="G110" s="124"/>
      <c r="H110" s="124"/>
      <c r="I110" s="124"/>
      <c r="J110" s="124"/>
      <c r="K110" s="124"/>
      <c r="L110" s="124"/>
      <c r="M110" s="125"/>
      <c r="N110" s="125"/>
      <c r="O110" s="125"/>
      <c r="P110" s="125"/>
      <c r="Q110" s="125"/>
      <c r="R110" s="125"/>
      <c r="S110" s="125"/>
      <c r="T110" s="125"/>
      <c r="U110" s="125"/>
      <c r="V110" s="124"/>
      <c r="W110" s="124"/>
      <c r="X110" s="124"/>
      <c r="Y110" s="125"/>
      <c r="Z110" s="125"/>
      <c r="AA110" s="125"/>
      <c r="AB110" s="127"/>
      <c r="AC110" s="125"/>
      <c r="AD110" s="127"/>
      <c r="AE110" s="124"/>
      <c r="AF110" s="124"/>
    </row>
    <row r="111" spans="2:32" ht="15" customHeight="1" x14ac:dyDescent="0.25">
      <c r="B111" s="128"/>
      <c r="C111" s="124"/>
      <c r="D111" s="129"/>
      <c r="E111" s="129"/>
      <c r="F111" s="129"/>
      <c r="G111" s="129"/>
      <c r="H111" s="129"/>
      <c r="I111" s="129"/>
      <c r="J111" s="129"/>
      <c r="K111" s="129"/>
      <c r="L111" s="125"/>
      <c r="M111" s="128"/>
      <c r="N111" s="128"/>
      <c r="O111" s="128"/>
      <c r="P111" s="128"/>
      <c r="Q111" s="128"/>
      <c r="R111" s="128"/>
      <c r="S111" s="128"/>
      <c r="T111" s="128"/>
      <c r="U111" s="128"/>
      <c r="V111" s="123"/>
      <c r="W111" s="129"/>
      <c r="X111" s="129"/>
      <c r="Y111" s="137"/>
      <c r="Z111" s="137"/>
      <c r="AA111" s="137"/>
      <c r="AB111" s="126"/>
      <c r="AC111" s="122"/>
      <c r="AD111" s="126"/>
      <c r="AE111" s="122"/>
      <c r="AF111" s="122"/>
    </row>
    <row r="112" spans="2:32" ht="15" customHeight="1" x14ac:dyDescent="0.25">
      <c r="B112" s="128"/>
      <c r="C112" s="124"/>
      <c r="D112" s="129"/>
      <c r="E112" s="129"/>
      <c r="F112" s="129"/>
      <c r="G112" s="129"/>
      <c r="H112" s="129"/>
      <c r="I112" s="129"/>
      <c r="J112" s="129"/>
      <c r="K112" s="129"/>
      <c r="L112" s="125"/>
      <c r="M112" s="128"/>
      <c r="N112" s="122"/>
      <c r="O112" s="128"/>
      <c r="P112" s="128"/>
      <c r="Q112" s="128"/>
      <c r="R112" s="128"/>
      <c r="S112" s="128"/>
      <c r="T112" s="128"/>
      <c r="U112" s="128"/>
      <c r="V112" s="123"/>
      <c r="W112" s="129"/>
      <c r="X112" s="129"/>
      <c r="Y112" s="137"/>
      <c r="Z112" s="137"/>
      <c r="AA112" s="137"/>
      <c r="AB112" s="126"/>
      <c r="AC112" s="122"/>
      <c r="AD112" s="126"/>
      <c r="AE112" s="122"/>
      <c r="AF112" s="122"/>
    </row>
    <row r="113" spans="2:32" ht="15" customHeight="1" x14ac:dyDescent="0.25">
      <c r="B113" s="125"/>
      <c r="C113" s="124"/>
      <c r="D113" s="124"/>
      <c r="E113" s="124"/>
      <c r="F113" s="124"/>
      <c r="G113" s="124"/>
      <c r="H113" s="124"/>
      <c r="I113" s="124"/>
      <c r="J113" s="124"/>
      <c r="K113" s="124"/>
      <c r="L113" s="124"/>
      <c r="M113" s="122"/>
      <c r="N113" s="122"/>
      <c r="O113" s="125"/>
      <c r="P113" s="125"/>
      <c r="Q113" s="125"/>
      <c r="R113" s="125"/>
      <c r="S113" s="125"/>
      <c r="T113" s="125"/>
      <c r="U113" s="125"/>
      <c r="V113" s="124"/>
      <c r="W113" s="123"/>
      <c r="X113" s="123"/>
      <c r="Y113" s="122"/>
      <c r="Z113" s="122"/>
      <c r="AA113" s="122"/>
      <c r="AB113" s="127"/>
      <c r="AC113" s="125"/>
      <c r="AD113" s="127"/>
      <c r="AE113" s="124"/>
      <c r="AF113" s="124"/>
    </row>
    <row r="114" spans="2:32" ht="15" customHeight="1" x14ac:dyDescent="0.25">
      <c r="B114" s="125"/>
      <c r="C114" s="123"/>
      <c r="D114" s="123"/>
      <c r="E114" s="123"/>
      <c r="F114" s="123"/>
      <c r="G114" s="123"/>
      <c r="H114" s="123"/>
      <c r="I114" s="123"/>
      <c r="J114" s="123"/>
      <c r="K114" s="123"/>
      <c r="L114" s="123"/>
      <c r="M114" s="122"/>
      <c r="N114" s="128"/>
      <c r="O114" s="125"/>
      <c r="P114" s="125"/>
      <c r="Q114" s="125"/>
      <c r="R114" s="125"/>
      <c r="S114" s="125"/>
      <c r="T114" s="125"/>
      <c r="U114" s="125"/>
      <c r="V114" s="124"/>
      <c r="W114" s="123"/>
      <c r="X114" s="123"/>
      <c r="Y114" s="122"/>
      <c r="Z114" s="122"/>
      <c r="AA114" s="122"/>
      <c r="AB114" s="126"/>
      <c r="AC114" s="122"/>
      <c r="AD114" s="126"/>
      <c r="AE114" s="124"/>
      <c r="AF114" s="124"/>
    </row>
    <row r="115" spans="2:32" ht="15" customHeight="1" x14ac:dyDescent="0.25">
      <c r="B115" s="125"/>
      <c r="C115" s="124"/>
      <c r="D115" s="124"/>
      <c r="E115" s="124"/>
      <c r="F115" s="124"/>
      <c r="G115" s="124"/>
      <c r="H115" s="124"/>
      <c r="I115" s="124"/>
      <c r="J115" s="124"/>
      <c r="K115" s="124"/>
      <c r="L115" s="124"/>
      <c r="M115" s="125"/>
      <c r="N115" s="128"/>
      <c r="O115" s="125"/>
      <c r="P115" s="125"/>
      <c r="Q115" s="125"/>
      <c r="R115" s="125"/>
      <c r="S115" s="125"/>
      <c r="T115" s="125"/>
      <c r="U115" s="125"/>
      <c r="V115" s="124"/>
      <c r="W115" s="124"/>
      <c r="X115" s="124"/>
      <c r="Y115" s="125"/>
      <c r="Z115" s="125"/>
      <c r="AA115" s="125"/>
      <c r="AB115" s="126"/>
      <c r="AC115" s="125"/>
      <c r="AD115" s="127"/>
      <c r="AE115" s="124"/>
      <c r="AF115" s="124"/>
    </row>
    <row r="116" spans="2:32" ht="15" customHeight="1" x14ac:dyDescent="0.25">
      <c r="B116" s="122"/>
      <c r="C116" s="123"/>
      <c r="D116" s="123"/>
      <c r="E116" s="123"/>
      <c r="F116" s="123"/>
      <c r="G116" s="123"/>
      <c r="H116" s="123"/>
      <c r="I116" s="123"/>
      <c r="J116" s="123"/>
      <c r="K116" s="123"/>
      <c r="L116" s="123"/>
      <c r="M116" s="122"/>
      <c r="N116" s="122"/>
      <c r="O116" s="122"/>
      <c r="P116" s="122"/>
      <c r="Q116" s="122"/>
      <c r="R116" s="122"/>
      <c r="S116" s="122"/>
      <c r="T116" s="122"/>
      <c r="U116" s="122"/>
      <c r="V116" s="124"/>
      <c r="W116" s="123"/>
      <c r="X116" s="123"/>
      <c r="Y116" s="122"/>
      <c r="Z116" s="122"/>
      <c r="AA116" s="122"/>
      <c r="AB116" s="126"/>
      <c r="AC116" s="122"/>
      <c r="AD116" s="126"/>
      <c r="AE116" s="124"/>
      <c r="AF116" s="124"/>
    </row>
    <row r="117" spans="2:32" ht="15" customHeight="1" x14ac:dyDescent="0.25">
      <c r="B117" s="122"/>
      <c r="C117" s="123"/>
      <c r="D117" s="123"/>
      <c r="E117" s="123"/>
      <c r="F117" s="123"/>
      <c r="G117" s="123"/>
      <c r="H117" s="123"/>
      <c r="I117" s="123"/>
      <c r="J117" s="123"/>
      <c r="K117" s="123"/>
      <c r="L117" s="123"/>
      <c r="M117" s="122"/>
      <c r="N117" s="122"/>
      <c r="O117" s="122"/>
      <c r="P117" s="122"/>
      <c r="Q117" s="122"/>
      <c r="R117" s="122"/>
      <c r="S117" s="122"/>
      <c r="T117" s="122"/>
      <c r="U117" s="122"/>
      <c r="V117" s="124"/>
      <c r="W117" s="123"/>
      <c r="X117" s="123"/>
      <c r="Y117" s="122"/>
      <c r="Z117" s="122"/>
      <c r="AA117" s="122"/>
      <c r="AB117" s="126"/>
      <c r="AC117" s="122"/>
      <c r="AD117" s="126"/>
      <c r="AE117" s="124"/>
      <c r="AF117" s="124"/>
    </row>
    <row r="118" spans="2:32" ht="15" customHeight="1" x14ac:dyDescent="0.25">
      <c r="B118" s="122"/>
      <c r="C118" s="123"/>
      <c r="D118" s="123"/>
      <c r="E118" s="123"/>
      <c r="F118" s="123"/>
      <c r="G118" s="123"/>
      <c r="H118" s="123"/>
      <c r="I118" s="123"/>
      <c r="J118" s="123"/>
      <c r="K118" s="123"/>
      <c r="L118" s="123"/>
      <c r="M118" s="122"/>
      <c r="N118" s="122"/>
      <c r="O118" s="122"/>
      <c r="P118" s="122"/>
      <c r="Q118" s="122"/>
      <c r="R118" s="122"/>
      <c r="S118" s="122"/>
      <c r="T118" s="122"/>
      <c r="U118" s="122"/>
      <c r="V118" s="123"/>
      <c r="W118" s="123"/>
      <c r="X118" s="123"/>
      <c r="Y118" s="122"/>
      <c r="Z118" s="122"/>
      <c r="AA118" s="122"/>
      <c r="AB118" s="126"/>
      <c r="AC118" s="122"/>
      <c r="AD118" s="126"/>
      <c r="AE118" s="122"/>
      <c r="AF118" s="122"/>
    </row>
    <row r="119" spans="2:32" ht="15" customHeight="1" x14ac:dyDescent="0.25">
      <c r="B119" s="125"/>
      <c r="C119" s="124"/>
      <c r="D119" s="124"/>
      <c r="E119" s="124"/>
      <c r="F119" s="124"/>
      <c r="G119" s="124"/>
      <c r="H119" s="124"/>
      <c r="I119" s="124"/>
      <c r="J119" s="124"/>
      <c r="K119" s="124"/>
      <c r="L119" s="124"/>
      <c r="M119" s="125"/>
      <c r="N119" s="125"/>
      <c r="O119" s="125"/>
      <c r="P119" s="125"/>
      <c r="Q119" s="125"/>
      <c r="R119" s="125"/>
      <c r="S119" s="125"/>
      <c r="T119" s="125"/>
      <c r="U119" s="125"/>
      <c r="V119" s="124"/>
      <c r="W119" s="124"/>
      <c r="X119" s="124"/>
      <c r="Y119" s="125"/>
      <c r="Z119" s="125"/>
      <c r="AA119" s="125"/>
      <c r="AB119" s="127"/>
      <c r="AC119" s="125"/>
      <c r="AD119" s="127"/>
      <c r="AE119" s="124"/>
      <c r="AF119" s="124"/>
    </row>
    <row r="120" spans="2:32" ht="15" customHeight="1" x14ac:dyDescent="0.25">
      <c r="B120" s="122"/>
      <c r="C120" s="123"/>
      <c r="D120" s="123"/>
      <c r="E120" s="123"/>
      <c r="F120" s="123"/>
      <c r="G120" s="123"/>
      <c r="H120" s="123"/>
      <c r="I120" s="123"/>
      <c r="J120" s="123"/>
      <c r="K120" s="123"/>
      <c r="L120" s="123"/>
      <c r="M120" s="122"/>
      <c r="N120" s="125"/>
      <c r="O120" s="122"/>
      <c r="P120" s="122"/>
      <c r="Q120" s="122"/>
      <c r="R120" s="122"/>
      <c r="S120" s="122"/>
      <c r="T120" s="122"/>
      <c r="U120" s="122"/>
      <c r="V120" s="124"/>
      <c r="W120" s="123"/>
      <c r="X120" s="123"/>
      <c r="Y120" s="122"/>
      <c r="Z120" s="122"/>
      <c r="AA120" s="122"/>
      <c r="AB120" s="126"/>
      <c r="AC120" s="122"/>
      <c r="AD120" s="126"/>
      <c r="AE120" s="124"/>
      <c r="AF120" s="124"/>
    </row>
    <row r="121" spans="2:32" ht="15" customHeight="1" x14ac:dyDescent="0.25">
      <c r="B121" s="125"/>
      <c r="C121" s="124"/>
      <c r="D121" s="124"/>
      <c r="E121" s="124"/>
      <c r="F121" s="124"/>
      <c r="G121" s="124"/>
      <c r="H121" s="124"/>
      <c r="I121" s="124"/>
      <c r="J121" s="124"/>
      <c r="K121" s="124"/>
      <c r="L121" s="124"/>
      <c r="M121" s="125"/>
      <c r="N121" s="125"/>
      <c r="O121" s="125"/>
      <c r="P121" s="125"/>
      <c r="Q121" s="125"/>
      <c r="R121" s="125"/>
      <c r="S121" s="125"/>
      <c r="T121" s="125"/>
      <c r="U121" s="125"/>
      <c r="V121" s="124"/>
      <c r="W121" s="124"/>
      <c r="X121" s="124"/>
      <c r="Y121" s="125"/>
      <c r="Z121" s="125"/>
      <c r="AA121" s="125"/>
      <c r="AB121" s="127"/>
      <c r="AC121" s="125"/>
      <c r="AD121" s="127"/>
      <c r="AE121" s="124"/>
      <c r="AF121" s="124"/>
    </row>
    <row r="122" spans="2:32" ht="15" customHeight="1" x14ac:dyDescent="0.25">
      <c r="B122" s="125"/>
      <c r="C122" s="124"/>
      <c r="D122" s="124"/>
      <c r="E122" s="124"/>
      <c r="F122" s="124"/>
      <c r="G122" s="124"/>
      <c r="H122" s="124"/>
      <c r="I122" s="124"/>
      <c r="J122" s="124"/>
      <c r="K122" s="124"/>
      <c r="L122" s="124"/>
      <c r="M122" s="122"/>
      <c r="N122" s="122"/>
      <c r="O122" s="125"/>
      <c r="P122" s="125"/>
      <c r="Q122" s="125"/>
      <c r="R122" s="125"/>
      <c r="S122" s="125"/>
      <c r="T122" s="125"/>
      <c r="U122" s="125"/>
      <c r="V122" s="124"/>
      <c r="W122" s="123"/>
      <c r="X122" s="123"/>
      <c r="Y122" s="122"/>
      <c r="Z122" s="122"/>
      <c r="AA122" s="122"/>
      <c r="AB122" s="127"/>
      <c r="AC122" s="125"/>
      <c r="AD122" s="127"/>
      <c r="AE122" s="124"/>
      <c r="AF122" s="124"/>
    </row>
    <row r="123" spans="2:32" ht="15" customHeight="1" x14ac:dyDescent="0.25">
      <c r="B123" s="125"/>
      <c r="C123" s="124"/>
      <c r="D123" s="124"/>
      <c r="E123" s="124"/>
      <c r="F123" s="124"/>
      <c r="G123" s="124"/>
      <c r="H123" s="124"/>
      <c r="I123" s="124"/>
      <c r="J123" s="124"/>
      <c r="K123" s="124"/>
      <c r="L123" s="124"/>
      <c r="M123" s="125"/>
      <c r="N123" s="125"/>
      <c r="O123" s="125"/>
      <c r="P123" s="125"/>
      <c r="Q123" s="125"/>
      <c r="R123" s="125"/>
      <c r="S123" s="125"/>
      <c r="T123" s="125"/>
      <c r="U123" s="125"/>
      <c r="V123" s="124"/>
      <c r="W123" s="124"/>
      <c r="X123" s="124"/>
      <c r="Y123" s="125"/>
      <c r="Z123" s="125"/>
      <c r="AA123" s="125"/>
      <c r="AB123" s="127"/>
      <c r="AC123" s="125"/>
      <c r="AD123" s="127"/>
      <c r="AE123" s="124"/>
      <c r="AF123" s="124"/>
    </row>
    <row r="124" spans="2:32" ht="15" customHeight="1" x14ac:dyDescent="0.25">
      <c r="B124" s="125"/>
      <c r="C124" s="124"/>
      <c r="D124" s="124"/>
      <c r="E124" s="124"/>
      <c r="F124" s="124"/>
      <c r="G124" s="124"/>
      <c r="H124" s="124"/>
      <c r="I124" s="124"/>
      <c r="J124" s="124"/>
      <c r="K124" s="124"/>
      <c r="L124" s="124"/>
      <c r="M124" s="125"/>
      <c r="N124" s="125"/>
      <c r="O124" s="125"/>
      <c r="P124" s="125"/>
      <c r="Q124" s="125"/>
      <c r="R124" s="125"/>
      <c r="S124" s="125"/>
      <c r="T124" s="125"/>
      <c r="U124" s="125"/>
      <c r="V124" s="124"/>
      <c r="W124" s="124"/>
      <c r="X124" s="124"/>
      <c r="Y124" s="125"/>
      <c r="Z124" s="125"/>
      <c r="AA124" s="125"/>
      <c r="AB124" s="127"/>
      <c r="AC124" s="125"/>
      <c r="AD124" s="127"/>
      <c r="AE124" s="124"/>
      <c r="AF124" s="124"/>
    </row>
    <row r="125" spans="2:32" ht="15" customHeight="1" x14ac:dyDescent="0.25">
      <c r="B125" s="122"/>
      <c r="C125" s="123"/>
      <c r="D125" s="123"/>
      <c r="E125" s="123"/>
      <c r="F125" s="123"/>
      <c r="G125" s="123"/>
      <c r="H125" s="123"/>
      <c r="I125" s="123"/>
      <c r="J125" s="123"/>
      <c r="K125" s="123"/>
      <c r="L125" s="123"/>
      <c r="M125" s="122"/>
      <c r="N125" s="122"/>
      <c r="O125" s="122"/>
      <c r="P125" s="122"/>
      <c r="Q125" s="122"/>
      <c r="R125" s="122"/>
      <c r="S125" s="122"/>
      <c r="T125" s="122"/>
      <c r="U125" s="122"/>
      <c r="V125" s="123"/>
      <c r="W125" s="123"/>
      <c r="X125" s="123"/>
      <c r="Y125" s="122"/>
      <c r="Z125" s="122"/>
      <c r="AA125" s="122"/>
      <c r="AB125" s="126"/>
      <c r="AC125" s="122"/>
      <c r="AD125" s="126"/>
      <c r="AE125" s="122"/>
      <c r="AF125" s="122"/>
    </row>
    <row r="126" spans="2:32" ht="15" customHeight="1" x14ac:dyDescent="0.25">
      <c r="B126" s="122"/>
      <c r="C126" s="123"/>
      <c r="D126" s="123"/>
      <c r="E126" s="123"/>
      <c r="F126" s="123"/>
      <c r="G126" s="123"/>
      <c r="H126" s="123"/>
      <c r="I126" s="123"/>
      <c r="J126" s="123"/>
      <c r="K126" s="123"/>
      <c r="L126" s="123"/>
      <c r="M126" s="122"/>
      <c r="N126" s="122"/>
      <c r="O126" s="122"/>
      <c r="P126" s="122"/>
      <c r="Q126" s="122"/>
      <c r="R126" s="122"/>
      <c r="S126" s="122"/>
      <c r="T126" s="122"/>
      <c r="U126" s="122"/>
      <c r="V126" s="123"/>
      <c r="W126" s="123"/>
      <c r="X126" s="123"/>
      <c r="Y126" s="122"/>
      <c r="Z126" s="122"/>
      <c r="AA126" s="122"/>
      <c r="AB126" s="126"/>
      <c r="AC126" s="122"/>
      <c r="AD126" s="126"/>
      <c r="AE126" s="122"/>
      <c r="AF126" s="122"/>
    </row>
    <row r="127" spans="2:32" ht="15" customHeight="1" x14ac:dyDescent="0.25">
      <c r="B127" s="122"/>
      <c r="C127" s="123"/>
      <c r="D127" s="123"/>
      <c r="E127" s="123"/>
      <c r="F127" s="123"/>
      <c r="G127" s="123"/>
      <c r="H127" s="123"/>
      <c r="I127" s="123"/>
      <c r="J127" s="123"/>
      <c r="K127" s="123"/>
      <c r="L127" s="123"/>
      <c r="M127" s="122"/>
      <c r="N127" s="122"/>
      <c r="O127" s="122"/>
      <c r="P127" s="122"/>
      <c r="Q127" s="122"/>
      <c r="R127" s="122"/>
      <c r="S127" s="122"/>
      <c r="T127" s="122"/>
      <c r="U127" s="122"/>
      <c r="V127" s="124"/>
      <c r="W127" s="123"/>
      <c r="X127" s="123"/>
      <c r="Y127" s="122"/>
      <c r="Z127" s="122"/>
      <c r="AA127" s="122"/>
      <c r="AB127" s="126"/>
      <c r="AC127" s="122"/>
      <c r="AD127" s="126"/>
      <c r="AE127" s="124"/>
      <c r="AF127" s="124"/>
    </row>
    <row r="128" spans="2:32" ht="15" customHeight="1" x14ac:dyDescent="0.25">
      <c r="B128" s="125"/>
      <c r="C128" s="123"/>
      <c r="D128" s="123"/>
      <c r="E128" s="123"/>
      <c r="F128" s="123"/>
      <c r="G128" s="123"/>
      <c r="H128" s="123"/>
      <c r="I128" s="123"/>
      <c r="J128" s="123"/>
      <c r="K128" s="123"/>
      <c r="L128" s="123"/>
      <c r="M128" s="124"/>
      <c r="N128" s="125"/>
      <c r="O128" s="125"/>
      <c r="P128" s="125"/>
      <c r="Q128" s="125"/>
      <c r="R128" s="125"/>
      <c r="S128" s="125"/>
      <c r="T128" s="125"/>
      <c r="U128" s="125"/>
      <c r="V128" s="124"/>
      <c r="W128" s="124"/>
      <c r="X128" s="124"/>
      <c r="Y128" s="125"/>
      <c r="Z128" s="125"/>
      <c r="AA128" s="125"/>
      <c r="AB128" s="127"/>
      <c r="AC128" s="125"/>
      <c r="AD128" s="127"/>
      <c r="AE128" s="124"/>
      <c r="AF128" s="124"/>
    </row>
    <row r="129" spans="2:32" ht="15" customHeight="1" x14ac:dyDescent="0.25">
      <c r="B129" s="125"/>
      <c r="C129" s="124"/>
      <c r="D129" s="124"/>
      <c r="E129" s="124"/>
      <c r="F129" s="124"/>
      <c r="G129" s="124"/>
      <c r="H129" s="124"/>
      <c r="I129" s="124"/>
      <c r="J129" s="124"/>
      <c r="K129" s="124"/>
      <c r="L129" s="124"/>
      <c r="M129" s="125"/>
      <c r="N129" s="125"/>
      <c r="O129" s="125"/>
      <c r="P129" s="125"/>
      <c r="Q129" s="125"/>
      <c r="R129" s="125"/>
      <c r="S129" s="125"/>
      <c r="T129" s="125"/>
      <c r="U129" s="125"/>
      <c r="V129" s="124"/>
      <c r="W129" s="124"/>
      <c r="X129" s="124"/>
      <c r="Y129" s="125"/>
      <c r="Z129" s="125"/>
      <c r="AA129" s="125"/>
      <c r="AB129" s="127"/>
      <c r="AC129" s="125"/>
      <c r="AD129" s="127"/>
      <c r="AE129" s="124"/>
      <c r="AF129" s="124"/>
    </row>
    <row r="130" spans="2:32" ht="15" customHeight="1" x14ac:dyDescent="0.25">
      <c r="B130" s="125"/>
      <c r="C130" s="124"/>
      <c r="D130" s="124"/>
      <c r="E130" s="124"/>
      <c r="F130" s="124"/>
      <c r="G130" s="124"/>
      <c r="H130" s="124"/>
      <c r="I130" s="124"/>
      <c r="J130" s="124"/>
      <c r="K130" s="124"/>
      <c r="L130" s="124"/>
      <c r="M130" s="125"/>
      <c r="N130" s="125"/>
      <c r="O130" s="125"/>
      <c r="P130" s="125"/>
      <c r="Q130" s="125"/>
      <c r="R130" s="125"/>
      <c r="S130" s="125"/>
      <c r="T130" s="125"/>
      <c r="U130" s="125"/>
      <c r="V130" s="124"/>
      <c r="W130" s="124"/>
      <c r="X130" s="124"/>
      <c r="Y130" s="125"/>
      <c r="Z130" s="125"/>
      <c r="AA130" s="125"/>
      <c r="AB130" s="127"/>
      <c r="AC130" s="125"/>
      <c r="AD130" s="127"/>
      <c r="AE130" s="124"/>
      <c r="AF130" s="124"/>
    </row>
    <row r="131" spans="2:32" ht="15" customHeight="1" x14ac:dyDescent="0.25">
      <c r="B131" s="125"/>
      <c r="C131" s="124"/>
      <c r="D131" s="124"/>
      <c r="E131" s="124"/>
      <c r="F131" s="124"/>
      <c r="G131" s="124"/>
      <c r="H131" s="124"/>
      <c r="I131" s="124"/>
      <c r="J131" s="124"/>
      <c r="K131" s="124"/>
      <c r="L131" s="124"/>
      <c r="M131" s="125"/>
      <c r="N131" s="125"/>
      <c r="O131" s="125"/>
      <c r="P131" s="125"/>
      <c r="Q131" s="125"/>
      <c r="R131" s="125"/>
      <c r="S131" s="125"/>
      <c r="T131" s="125"/>
      <c r="U131" s="125"/>
      <c r="V131" s="124"/>
      <c r="W131" s="124"/>
      <c r="X131" s="124"/>
      <c r="Y131" s="125"/>
      <c r="Z131" s="125"/>
      <c r="AA131" s="125"/>
      <c r="AB131" s="127"/>
      <c r="AC131" s="125"/>
      <c r="AD131" s="127"/>
      <c r="AE131" s="125"/>
      <c r="AF131" s="125"/>
    </row>
    <row r="132" spans="2:32" ht="15" customHeight="1" x14ac:dyDescent="0.25">
      <c r="B132" s="125"/>
      <c r="C132" s="124"/>
      <c r="D132" s="124"/>
      <c r="E132" s="124"/>
      <c r="F132" s="124"/>
      <c r="G132" s="124"/>
      <c r="H132" s="124"/>
      <c r="I132" s="124"/>
      <c r="J132" s="124"/>
      <c r="K132" s="124"/>
      <c r="L132" s="124"/>
      <c r="M132" s="122"/>
      <c r="N132" s="125"/>
      <c r="O132" s="125"/>
      <c r="P132" s="125"/>
      <c r="Q132" s="125"/>
      <c r="R132" s="125"/>
      <c r="S132" s="125"/>
      <c r="T132" s="125"/>
      <c r="U132" s="125"/>
      <c r="V132" s="124"/>
      <c r="W132" s="123"/>
      <c r="X132" s="123"/>
      <c r="Y132" s="122"/>
      <c r="Z132" s="122"/>
      <c r="AA132" s="122"/>
      <c r="AB132" s="127"/>
      <c r="AC132" s="125"/>
      <c r="AD132" s="127"/>
      <c r="AE132" s="124"/>
      <c r="AF132" s="124"/>
    </row>
    <row r="133" spans="2:32" ht="15" customHeight="1" x14ac:dyDescent="0.25">
      <c r="B133" s="122"/>
      <c r="C133" s="123"/>
      <c r="D133" s="123"/>
      <c r="E133" s="123"/>
      <c r="F133" s="123"/>
      <c r="G133" s="123"/>
      <c r="H133" s="123"/>
      <c r="I133" s="123"/>
      <c r="J133" s="123"/>
      <c r="K133" s="123"/>
      <c r="L133" s="123"/>
      <c r="M133" s="122"/>
      <c r="N133" s="122"/>
      <c r="O133" s="122"/>
      <c r="P133" s="122"/>
      <c r="Q133" s="122"/>
      <c r="R133" s="122"/>
      <c r="S133" s="122"/>
      <c r="T133" s="122"/>
      <c r="U133" s="122"/>
      <c r="V133" s="123"/>
      <c r="W133" s="123"/>
      <c r="X133" s="123"/>
      <c r="Y133" s="122"/>
      <c r="Z133" s="122"/>
      <c r="AA133" s="122"/>
      <c r="AB133" s="126"/>
      <c r="AC133" s="122"/>
      <c r="AD133" s="126"/>
      <c r="AE133" s="122"/>
      <c r="AF133" s="122"/>
    </row>
    <row r="134" spans="2:32" ht="15" customHeight="1" x14ac:dyDescent="0.25">
      <c r="B134" s="122"/>
      <c r="C134" s="123"/>
      <c r="D134" s="123"/>
      <c r="E134" s="123"/>
      <c r="F134" s="123"/>
      <c r="G134" s="123"/>
      <c r="H134" s="123"/>
      <c r="I134" s="123"/>
      <c r="J134" s="123"/>
      <c r="K134" s="123"/>
      <c r="L134" s="123"/>
      <c r="M134" s="122"/>
      <c r="N134" s="122"/>
      <c r="O134" s="122"/>
      <c r="P134" s="122"/>
      <c r="Q134" s="122"/>
      <c r="R134" s="122"/>
      <c r="S134" s="122"/>
      <c r="T134" s="122"/>
      <c r="U134" s="122"/>
      <c r="V134" s="123"/>
      <c r="Y134" s="110"/>
      <c r="Z134" s="110"/>
      <c r="AA134" s="110"/>
      <c r="AB134" s="126"/>
      <c r="AC134" s="122"/>
      <c r="AD134" s="126"/>
      <c r="AE134" s="122"/>
      <c r="AF134" s="122"/>
    </row>
    <row r="135" spans="2:32" ht="15" customHeight="1" x14ac:dyDescent="0.25">
      <c r="B135" s="125"/>
      <c r="C135" s="124"/>
      <c r="D135" s="124"/>
      <c r="E135" s="124"/>
      <c r="F135" s="124"/>
      <c r="G135" s="124"/>
      <c r="H135" s="124"/>
      <c r="I135" s="124"/>
      <c r="J135" s="124"/>
      <c r="K135" s="124"/>
      <c r="L135" s="124"/>
      <c r="M135" s="125"/>
      <c r="N135" s="125"/>
      <c r="O135" s="125"/>
      <c r="P135" s="125"/>
      <c r="Q135" s="125"/>
      <c r="R135" s="125"/>
      <c r="S135" s="125"/>
      <c r="T135" s="125"/>
      <c r="U135" s="125"/>
      <c r="V135" s="124"/>
      <c r="Y135" s="110"/>
      <c r="Z135" s="110"/>
      <c r="AA135" s="110"/>
      <c r="AB135" s="127"/>
      <c r="AC135" s="125"/>
      <c r="AD135" s="127"/>
      <c r="AE135" s="125"/>
      <c r="AF135" s="125"/>
    </row>
    <row r="136" spans="2:32" ht="15" customHeight="1" x14ac:dyDescent="0.25">
      <c r="B136" s="122"/>
      <c r="C136" s="123"/>
      <c r="D136" s="123"/>
      <c r="E136" s="123"/>
      <c r="F136" s="123"/>
      <c r="G136" s="123"/>
      <c r="H136" s="123"/>
      <c r="I136" s="123"/>
      <c r="J136" s="123"/>
      <c r="K136" s="123"/>
      <c r="L136" s="123"/>
      <c r="M136" s="122"/>
      <c r="N136" s="122"/>
      <c r="O136" s="122"/>
      <c r="P136" s="122"/>
      <c r="Q136" s="122"/>
      <c r="R136" s="122"/>
      <c r="S136" s="122"/>
      <c r="T136" s="122"/>
      <c r="U136" s="122"/>
      <c r="V136" s="123"/>
      <c r="Y136" s="110"/>
      <c r="Z136" s="110"/>
      <c r="AA136" s="110"/>
      <c r="AB136" s="126"/>
      <c r="AC136" s="122"/>
      <c r="AD136" s="126"/>
      <c r="AE136" s="122"/>
      <c r="AF136" s="122"/>
    </row>
    <row r="137" spans="2:32" ht="15" customHeight="1" x14ac:dyDescent="0.25">
      <c r="B137" s="125"/>
      <c r="C137" s="124"/>
      <c r="D137" s="124"/>
      <c r="E137" s="124"/>
      <c r="F137" s="124"/>
      <c r="G137" s="124"/>
      <c r="H137" s="124"/>
      <c r="I137" s="124"/>
      <c r="J137" s="124"/>
      <c r="K137" s="124"/>
      <c r="L137" s="124"/>
      <c r="M137" s="125"/>
      <c r="N137" s="125"/>
      <c r="O137" s="125"/>
      <c r="P137" s="125"/>
      <c r="Q137" s="125"/>
      <c r="R137" s="125"/>
      <c r="S137" s="125"/>
      <c r="T137" s="125"/>
      <c r="U137" s="125"/>
      <c r="V137" s="124"/>
      <c r="Y137" s="110"/>
      <c r="Z137" s="110"/>
      <c r="AA137" s="110"/>
      <c r="AB137" s="127"/>
      <c r="AC137" s="125"/>
      <c r="AD137" s="127"/>
      <c r="AE137" s="125"/>
      <c r="AF137" s="125"/>
    </row>
    <row r="138" spans="2:32" ht="15" customHeight="1" x14ac:dyDescent="0.25">
      <c r="B138" s="125"/>
      <c r="C138" s="124"/>
      <c r="D138" s="124"/>
      <c r="E138" s="124"/>
      <c r="F138" s="124"/>
      <c r="G138" s="124"/>
      <c r="H138" s="124"/>
      <c r="I138" s="124"/>
      <c r="J138" s="124"/>
      <c r="K138" s="124"/>
      <c r="L138" s="124"/>
      <c r="M138" s="125"/>
      <c r="N138" s="125"/>
      <c r="O138" s="125"/>
      <c r="P138" s="125"/>
      <c r="Q138" s="125"/>
      <c r="R138" s="125"/>
      <c r="S138" s="125"/>
      <c r="T138" s="125"/>
      <c r="U138" s="125"/>
      <c r="V138" s="124"/>
      <c r="Y138" s="110"/>
      <c r="Z138" s="110"/>
      <c r="AA138" s="110"/>
      <c r="AB138" s="127"/>
      <c r="AC138" s="125"/>
      <c r="AD138" s="127"/>
      <c r="AE138" s="125"/>
      <c r="AF138" s="125"/>
    </row>
    <row r="139" spans="2:32" ht="15" customHeight="1" x14ac:dyDescent="0.25">
      <c r="B139" s="122"/>
      <c r="C139" s="123"/>
      <c r="D139" s="123"/>
      <c r="E139" s="123"/>
      <c r="F139" s="123"/>
      <c r="G139" s="123"/>
      <c r="H139" s="123"/>
      <c r="I139" s="123"/>
      <c r="J139" s="123"/>
      <c r="K139" s="123"/>
      <c r="L139" s="123"/>
      <c r="M139" s="122"/>
      <c r="N139" s="122"/>
      <c r="O139" s="122"/>
      <c r="P139" s="122"/>
      <c r="Q139" s="122"/>
      <c r="R139" s="122"/>
      <c r="S139" s="122"/>
      <c r="T139" s="122"/>
      <c r="U139" s="122"/>
      <c r="V139" s="123"/>
      <c r="Y139" s="110"/>
      <c r="Z139" s="110"/>
      <c r="AA139" s="110"/>
      <c r="AB139" s="126"/>
      <c r="AC139" s="122"/>
      <c r="AD139" s="126"/>
      <c r="AE139" s="122"/>
      <c r="AF139" s="122"/>
    </row>
    <row r="140" spans="2:32" ht="15" customHeight="1" x14ac:dyDescent="0.25">
      <c r="B140" s="125"/>
      <c r="C140" s="123"/>
      <c r="D140" s="123"/>
      <c r="E140" s="123"/>
      <c r="F140" s="123"/>
      <c r="G140" s="123"/>
      <c r="H140" s="123"/>
      <c r="I140" s="123"/>
      <c r="J140" s="123"/>
      <c r="K140" s="123"/>
      <c r="L140" s="123"/>
      <c r="M140" s="125"/>
      <c r="N140" s="125"/>
      <c r="O140" s="125"/>
      <c r="P140" s="125"/>
      <c r="Q140" s="125"/>
      <c r="R140" s="125"/>
      <c r="S140" s="125"/>
      <c r="T140" s="125"/>
      <c r="U140" s="125"/>
      <c r="V140" s="124"/>
      <c r="W140" s="124"/>
      <c r="X140" s="124"/>
      <c r="Y140" s="125"/>
      <c r="Z140" s="125"/>
      <c r="AA140" s="125"/>
      <c r="AB140" s="127"/>
      <c r="AC140" s="125"/>
      <c r="AD140" s="127"/>
      <c r="AE140" s="125"/>
      <c r="AF140" s="125"/>
    </row>
    <row r="141" spans="2:32" ht="15" customHeight="1" x14ac:dyDescent="0.25">
      <c r="D141" s="111"/>
      <c r="E141" s="111"/>
      <c r="F141" s="111"/>
      <c r="G141" s="111"/>
      <c r="H141" s="111"/>
      <c r="I141" s="111"/>
      <c r="J141" s="111"/>
      <c r="K141" s="111"/>
      <c r="N141" s="122"/>
      <c r="V141" s="123"/>
      <c r="Y141" s="110"/>
      <c r="Z141" s="110"/>
      <c r="AA141" s="110"/>
      <c r="AB141" s="126"/>
      <c r="AC141" s="122"/>
      <c r="AD141" s="126"/>
      <c r="AE141" s="122"/>
      <c r="AF141" s="122"/>
    </row>
    <row r="142" spans="2:32" ht="15" customHeight="1" x14ac:dyDescent="0.25">
      <c r="B142" s="138"/>
      <c r="D142" s="111"/>
      <c r="E142" s="111"/>
      <c r="F142" s="111"/>
      <c r="G142" s="111"/>
      <c r="H142" s="111"/>
      <c r="I142" s="111"/>
      <c r="J142" s="111"/>
      <c r="K142" s="111"/>
      <c r="O142" s="138"/>
      <c r="P142" s="138"/>
      <c r="Q142" s="138"/>
      <c r="R142" s="138"/>
      <c r="S142" s="138"/>
      <c r="T142" s="138"/>
      <c r="U142" s="138"/>
      <c r="V142" s="123"/>
      <c r="Y142" s="110"/>
      <c r="Z142" s="110"/>
      <c r="AA142" s="110"/>
      <c r="AB142" s="126"/>
      <c r="AC142" s="122"/>
      <c r="AD142" s="126"/>
      <c r="AE142" s="122"/>
      <c r="AF142" s="122"/>
    </row>
    <row r="143" spans="2:32" ht="15" customHeight="1" x14ac:dyDescent="0.25">
      <c r="B143" s="132"/>
      <c r="C143" s="133"/>
      <c r="D143" s="133"/>
      <c r="E143" s="133"/>
      <c r="F143" s="133"/>
      <c r="G143" s="133"/>
      <c r="H143" s="133"/>
      <c r="I143" s="133"/>
      <c r="J143" s="133"/>
      <c r="K143" s="133"/>
      <c r="M143" s="132"/>
      <c r="N143" s="125"/>
      <c r="O143" s="132"/>
      <c r="P143" s="132"/>
      <c r="Q143" s="132"/>
      <c r="R143" s="132"/>
      <c r="S143" s="132"/>
      <c r="T143" s="132"/>
      <c r="U143" s="132"/>
      <c r="V143" s="124"/>
      <c r="W143" s="133"/>
      <c r="X143" s="133"/>
      <c r="Y143" s="132"/>
      <c r="Z143" s="132"/>
      <c r="AA143" s="132"/>
      <c r="AB143" s="134"/>
      <c r="AC143" s="132"/>
      <c r="AD143" s="134"/>
      <c r="AE143" s="125"/>
      <c r="AF143" s="125"/>
    </row>
    <row r="144" spans="2:32" ht="15" customHeight="1" x14ac:dyDescent="0.25">
      <c r="B144" s="125"/>
      <c r="C144" s="124"/>
      <c r="D144" s="124"/>
      <c r="E144" s="124"/>
      <c r="F144" s="124"/>
      <c r="G144" s="124"/>
      <c r="H144" s="124"/>
      <c r="I144" s="124"/>
      <c r="J144" s="124"/>
      <c r="K144" s="124"/>
      <c r="L144" s="124"/>
      <c r="M144" s="124"/>
      <c r="N144" s="125"/>
      <c r="O144" s="125"/>
      <c r="P144" s="125"/>
      <c r="Q144" s="125"/>
      <c r="R144" s="125"/>
      <c r="S144" s="125"/>
      <c r="T144" s="125"/>
      <c r="U144" s="125"/>
      <c r="V144" s="124"/>
      <c r="W144" s="124"/>
      <c r="X144" s="124"/>
      <c r="Y144" s="125"/>
      <c r="Z144" s="125"/>
      <c r="AA144" s="125"/>
      <c r="AB144" s="127"/>
      <c r="AC144" s="125"/>
      <c r="AD144" s="127"/>
      <c r="AE144" s="124"/>
      <c r="AF144" s="124"/>
    </row>
    <row r="145" spans="2:32" ht="15" customHeight="1" x14ac:dyDescent="0.25">
      <c r="B145" s="122"/>
      <c r="C145" s="123"/>
      <c r="D145" s="123"/>
      <c r="E145" s="123"/>
      <c r="F145" s="123"/>
      <c r="G145" s="123"/>
      <c r="H145" s="123"/>
      <c r="I145" s="123"/>
      <c r="J145" s="123"/>
      <c r="K145" s="123"/>
      <c r="L145" s="123"/>
      <c r="M145" s="122"/>
      <c r="N145" s="122"/>
      <c r="O145" s="122"/>
      <c r="P145" s="122"/>
      <c r="Q145" s="122"/>
      <c r="R145" s="122"/>
      <c r="S145" s="122"/>
      <c r="T145" s="122"/>
      <c r="U145" s="122"/>
      <c r="V145" s="123"/>
      <c r="W145" s="123"/>
      <c r="X145" s="123"/>
      <c r="Y145" s="122"/>
      <c r="Z145" s="122"/>
      <c r="AA145" s="122"/>
      <c r="AB145" s="126"/>
      <c r="AC145" s="122"/>
      <c r="AD145" s="126"/>
      <c r="AE145" s="122"/>
      <c r="AF145" s="122"/>
    </row>
    <row r="146" spans="2:32" ht="15" customHeight="1" x14ac:dyDescent="0.25">
      <c r="B146" s="125"/>
      <c r="C146" s="124"/>
      <c r="D146" s="124"/>
      <c r="E146" s="124"/>
      <c r="F146" s="124"/>
      <c r="G146" s="124"/>
      <c r="H146" s="124"/>
      <c r="I146" s="124"/>
      <c r="J146" s="124"/>
      <c r="K146" s="124"/>
      <c r="L146" s="124"/>
      <c r="M146" s="125"/>
      <c r="N146" s="125"/>
      <c r="O146" s="125"/>
      <c r="P146" s="125"/>
      <c r="Q146" s="125"/>
      <c r="R146" s="125"/>
      <c r="S146" s="125"/>
      <c r="T146" s="125"/>
      <c r="U146" s="125"/>
      <c r="V146" s="124"/>
      <c r="W146" s="124"/>
      <c r="X146" s="124"/>
      <c r="Y146" s="125"/>
      <c r="Z146" s="125"/>
      <c r="AA146" s="125"/>
      <c r="AB146" s="127"/>
      <c r="AC146" s="125"/>
      <c r="AD146" s="127"/>
      <c r="AE146" s="124"/>
      <c r="AF146" s="124"/>
    </row>
    <row r="147" spans="2:32" ht="15" customHeight="1" x14ac:dyDescent="0.25">
      <c r="B147" s="125"/>
      <c r="C147" s="124"/>
      <c r="D147" s="124"/>
      <c r="E147" s="124"/>
      <c r="F147" s="124"/>
      <c r="G147" s="124"/>
      <c r="H147" s="124"/>
      <c r="I147" s="124"/>
      <c r="J147" s="124"/>
      <c r="K147" s="124"/>
      <c r="L147" s="123"/>
      <c r="M147" s="125"/>
      <c r="N147" s="124"/>
      <c r="O147" s="125"/>
      <c r="P147" s="125"/>
      <c r="Q147" s="125"/>
      <c r="R147" s="125"/>
      <c r="S147" s="125"/>
      <c r="T147" s="125"/>
      <c r="U147" s="125"/>
      <c r="V147" s="124"/>
      <c r="W147" s="124"/>
      <c r="X147" s="124"/>
      <c r="Y147" s="125"/>
      <c r="Z147" s="125"/>
      <c r="AA147" s="125"/>
      <c r="AB147" s="127"/>
      <c r="AC147" s="125"/>
      <c r="AD147" s="127"/>
      <c r="AE147" s="124"/>
      <c r="AF147" s="124"/>
    </row>
    <row r="148" spans="2:32" ht="15" customHeight="1" x14ac:dyDescent="0.25">
      <c r="B148" s="125"/>
      <c r="C148" s="124"/>
      <c r="D148" s="124"/>
      <c r="E148" s="124"/>
      <c r="F148" s="124"/>
      <c r="G148" s="124"/>
      <c r="H148" s="124"/>
      <c r="I148" s="124"/>
      <c r="J148" s="124"/>
      <c r="K148" s="124"/>
      <c r="L148" s="124"/>
      <c r="M148" s="124"/>
      <c r="N148" s="125"/>
      <c r="O148" s="125"/>
      <c r="P148" s="125"/>
      <c r="Q148" s="125"/>
      <c r="R148" s="125"/>
      <c r="S148" s="125"/>
      <c r="T148" s="125"/>
      <c r="U148" s="125"/>
      <c r="V148" s="124"/>
      <c r="W148" s="124"/>
      <c r="X148" s="124"/>
      <c r="Y148" s="125"/>
      <c r="Z148" s="125"/>
      <c r="AA148" s="125"/>
      <c r="AB148" s="127"/>
      <c r="AC148" s="125"/>
      <c r="AD148" s="127"/>
      <c r="AE148" s="124"/>
      <c r="AF148" s="124"/>
    </row>
    <row r="149" spans="2:32" ht="15" customHeight="1" x14ac:dyDescent="0.25">
      <c r="B149" s="122"/>
      <c r="C149" s="123"/>
      <c r="D149" s="123"/>
      <c r="E149" s="123"/>
      <c r="F149" s="123"/>
      <c r="G149" s="123"/>
      <c r="H149" s="123"/>
      <c r="I149" s="123"/>
      <c r="J149" s="123"/>
      <c r="K149" s="123"/>
      <c r="L149" s="124"/>
      <c r="M149" s="122"/>
      <c r="N149" s="122"/>
      <c r="O149" s="122"/>
      <c r="P149" s="122"/>
      <c r="Q149" s="122"/>
      <c r="R149" s="122"/>
      <c r="S149" s="122"/>
      <c r="T149" s="122"/>
      <c r="U149" s="122"/>
      <c r="V149" s="124"/>
      <c r="W149" s="123"/>
      <c r="X149" s="123"/>
      <c r="Y149" s="122"/>
      <c r="Z149" s="122"/>
      <c r="AA149" s="122"/>
      <c r="AB149" s="126"/>
      <c r="AC149" s="122"/>
      <c r="AD149" s="126"/>
      <c r="AE149" s="124"/>
      <c r="AF149" s="124"/>
    </row>
    <row r="150" spans="2:32" ht="15" customHeight="1" x14ac:dyDescent="0.25">
      <c r="B150" s="122"/>
      <c r="C150" s="123"/>
      <c r="D150" s="123"/>
      <c r="E150" s="123"/>
      <c r="F150" s="123"/>
      <c r="G150" s="123"/>
      <c r="H150" s="123"/>
      <c r="I150" s="123"/>
      <c r="J150" s="123"/>
      <c r="K150" s="123"/>
      <c r="L150" s="123"/>
      <c r="M150" s="122"/>
      <c r="N150" s="124"/>
      <c r="O150" s="122"/>
      <c r="P150" s="122"/>
      <c r="Q150" s="122"/>
      <c r="R150" s="122"/>
      <c r="S150" s="122"/>
      <c r="T150" s="122"/>
      <c r="U150" s="122"/>
      <c r="V150" s="124"/>
      <c r="W150" s="123"/>
      <c r="X150" s="123"/>
      <c r="Y150" s="122"/>
      <c r="Z150" s="122"/>
      <c r="AA150" s="122"/>
      <c r="AB150" s="126"/>
      <c r="AC150" s="122"/>
      <c r="AD150" s="126"/>
      <c r="AE150" s="124"/>
      <c r="AF150" s="124"/>
    </row>
    <row r="151" spans="2:32" ht="15" customHeight="1" x14ac:dyDescent="0.25">
      <c r="B151" s="125"/>
      <c r="C151" s="124"/>
      <c r="D151" s="124"/>
      <c r="E151" s="124"/>
      <c r="F151" s="124"/>
      <c r="G151" s="124"/>
      <c r="H151" s="124"/>
      <c r="I151" s="124"/>
      <c r="J151" s="124"/>
      <c r="K151" s="124"/>
      <c r="L151" s="123"/>
      <c r="M151" s="125"/>
      <c r="N151" s="124"/>
      <c r="O151" s="125"/>
      <c r="P151" s="125"/>
      <c r="Q151" s="125"/>
      <c r="R151" s="125"/>
      <c r="S151" s="125"/>
      <c r="T151" s="125"/>
      <c r="U151" s="125"/>
      <c r="V151" s="124"/>
      <c r="W151" s="124"/>
      <c r="X151" s="124"/>
      <c r="Y151" s="125"/>
      <c r="Z151" s="125"/>
      <c r="AA151" s="125"/>
      <c r="AB151" s="127"/>
      <c r="AC151" s="125"/>
      <c r="AD151" s="127"/>
      <c r="AE151" s="124"/>
      <c r="AF151" s="124"/>
    </row>
    <row r="152" spans="2:32" ht="15" customHeight="1" x14ac:dyDescent="0.25">
      <c r="B152" s="125"/>
      <c r="C152" s="124"/>
      <c r="D152" s="124"/>
      <c r="E152" s="124"/>
      <c r="F152" s="124"/>
      <c r="G152" s="124"/>
      <c r="H152" s="124"/>
      <c r="I152" s="124"/>
      <c r="J152" s="124"/>
      <c r="K152" s="124"/>
      <c r="L152" s="123"/>
      <c r="M152" s="125"/>
      <c r="N152" s="124"/>
      <c r="O152" s="125"/>
      <c r="P152" s="125"/>
      <c r="Q152" s="125"/>
      <c r="R152" s="125"/>
      <c r="S152" s="125"/>
      <c r="T152" s="125"/>
      <c r="U152" s="125"/>
      <c r="V152" s="124"/>
      <c r="W152" s="124"/>
      <c r="X152" s="124"/>
      <c r="Y152" s="125"/>
      <c r="Z152" s="125"/>
      <c r="AA152" s="125"/>
      <c r="AB152" s="127"/>
      <c r="AC152" s="125"/>
      <c r="AD152" s="127"/>
      <c r="AE152" s="124"/>
      <c r="AF152" s="124"/>
    </row>
    <row r="153" spans="2:32" ht="15" customHeight="1" x14ac:dyDescent="0.25">
      <c r="B153" s="132"/>
      <c r="C153" s="133"/>
      <c r="D153" s="133"/>
      <c r="E153" s="133"/>
      <c r="F153" s="133"/>
      <c r="G153" s="133"/>
      <c r="H153" s="133"/>
      <c r="I153" s="133"/>
      <c r="J153" s="133"/>
      <c r="K153" s="133"/>
      <c r="L153" s="133"/>
      <c r="M153" s="132"/>
      <c r="N153" s="132"/>
      <c r="O153" s="132"/>
      <c r="P153" s="132"/>
      <c r="Q153" s="132"/>
      <c r="R153" s="132"/>
      <c r="S153" s="132"/>
      <c r="T153" s="132"/>
      <c r="U153" s="132"/>
      <c r="V153" s="124"/>
      <c r="W153" s="133"/>
      <c r="X153" s="133"/>
      <c r="Y153" s="132"/>
      <c r="Z153" s="132"/>
      <c r="AA153" s="132"/>
      <c r="AB153" s="134"/>
      <c r="AC153" s="132"/>
      <c r="AD153" s="134"/>
      <c r="AE153" s="125"/>
      <c r="AF153" s="125"/>
    </row>
    <row r="154" spans="2:32" ht="15" customHeight="1" x14ac:dyDescent="0.25">
      <c r="B154" s="125"/>
      <c r="C154" s="124"/>
      <c r="D154" s="124"/>
      <c r="E154" s="124"/>
      <c r="F154" s="124"/>
      <c r="G154" s="124"/>
      <c r="H154" s="124"/>
      <c r="I154" s="124"/>
      <c r="J154" s="124"/>
      <c r="K154" s="124"/>
      <c r="L154" s="123"/>
      <c r="M154" s="125"/>
      <c r="N154" s="125"/>
      <c r="O154" s="125"/>
      <c r="P154" s="125"/>
      <c r="Q154" s="125"/>
      <c r="R154" s="125"/>
      <c r="S154" s="125"/>
      <c r="T154" s="125"/>
      <c r="U154" s="125"/>
      <c r="V154" s="124"/>
      <c r="W154" s="124"/>
      <c r="X154" s="124"/>
      <c r="Y154" s="125"/>
      <c r="Z154" s="125"/>
      <c r="AA154" s="125"/>
      <c r="AB154" s="127"/>
      <c r="AC154" s="125"/>
      <c r="AD154" s="127"/>
      <c r="AE154" s="124"/>
      <c r="AF154" s="124"/>
    </row>
    <row r="155" spans="2:32" ht="15" customHeight="1" x14ac:dyDescent="0.25">
      <c r="B155" s="125"/>
      <c r="C155" s="124"/>
      <c r="D155" s="124"/>
      <c r="E155" s="124"/>
      <c r="F155" s="124"/>
      <c r="G155" s="124"/>
      <c r="H155" s="124"/>
      <c r="I155" s="124"/>
      <c r="J155" s="124"/>
      <c r="K155" s="124"/>
      <c r="L155" s="123"/>
      <c r="M155" s="125"/>
      <c r="N155" s="125"/>
      <c r="O155" s="125"/>
      <c r="P155" s="125"/>
      <c r="Q155" s="125"/>
      <c r="R155" s="125"/>
      <c r="S155" s="125"/>
      <c r="T155" s="125"/>
      <c r="U155" s="125"/>
      <c r="V155" s="124"/>
      <c r="W155" s="124"/>
      <c r="X155" s="124"/>
      <c r="Y155" s="125"/>
      <c r="Z155" s="125"/>
      <c r="AA155" s="125"/>
      <c r="AB155" s="127"/>
      <c r="AC155" s="125"/>
      <c r="AD155" s="127"/>
      <c r="AE155" s="124"/>
      <c r="AF155" s="124"/>
    </row>
    <row r="156" spans="2:32" ht="15" customHeight="1" x14ac:dyDescent="0.25">
      <c r="B156" s="125"/>
      <c r="C156" s="124"/>
      <c r="D156" s="124"/>
      <c r="E156" s="124"/>
      <c r="F156" s="124"/>
      <c r="G156" s="124"/>
      <c r="H156" s="124"/>
      <c r="I156" s="124"/>
      <c r="J156" s="124"/>
      <c r="K156" s="124"/>
      <c r="L156" s="124"/>
      <c r="M156" s="125"/>
      <c r="N156" s="125"/>
      <c r="O156" s="125"/>
      <c r="P156" s="125"/>
      <c r="Q156" s="125"/>
      <c r="R156" s="125"/>
      <c r="S156" s="125"/>
      <c r="T156" s="125"/>
      <c r="U156" s="125"/>
      <c r="V156" s="124"/>
      <c r="W156" s="124"/>
      <c r="X156" s="124"/>
      <c r="Y156" s="125"/>
      <c r="Z156" s="125"/>
      <c r="AA156" s="125"/>
      <c r="AB156" s="127"/>
      <c r="AC156" s="125"/>
      <c r="AD156" s="127"/>
      <c r="AE156" s="124"/>
      <c r="AF156" s="124"/>
    </row>
    <row r="157" spans="2:32" ht="15" customHeight="1" x14ac:dyDescent="0.25">
      <c r="B157" s="125"/>
      <c r="C157" s="124"/>
      <c r="D157" s="124"/>
      <c r="E157" s="124"/>
      <c r="F157" s="124"/>
      <c r="G157" s="124"/>
      <c r="H157" s="124"/>
      <c r="I157" s="124"/>
      <c r="J157" s="124"/>
      <c r="K157" s="124"/>
      <c r="L157" s="123"/>
      <c r="M157" s="125"/>
      <c r="N157" s="125"/>
      <c r="O157" s="125"/>
      <c r="P157" s="125"/>
      <c r="Q157" s="125"/>
      <c r="R157" s="125"/>
      <c r="S157" s="125"/>
      <c r="T157" s="125"/>
      <c r="U157" s="125"/>
      <c r="V157" s="124"/>
      <c r="W157" s="124"/>
      <c r="X157" s="124"/>
      <c r="Y157" s="125"/>
      <c r="Z157" s="125"/>
      <c r="AA157" s="125"/>
      <c r="AB157" s="127"/>
      <c r="AC157" s="125"/>
      <c r="AD157" s="127"/>
      <c r="AE157" s="124"/>
      <c r="AF157" s="124"/>
    </row>
    <row r="158" spans="2:32" ht="15" customHeight="1" x14ac:dyDescent="0.25">
      <c r="B158" s="122"/>
      <c r="C158" s="123"/>
      <c r="D158" s="123"/>
      <c r="E158" s="123"/>
      <c r="F158" s="123"/>
      <c r="G158" s="123"/>
      <c r="H158" s="123"/>
      <c r="I158" s="123"/>
      <c r="J158" s="123"/>
      <c r="K158" s="123"/>
      <c r="L158" s="123"/>
      <c r="M158" s="122"/>
      <c r="N158" s="124"/>
      <c r="O158" s="122"/>
      <c r="P158" s="122"/>
      <c r="Q158" s="122"/>
      <c r="R158" s="122"/>
      <c r="S158" s="122"/>
      <c r="T158" s="122"/>
      <c r="U158" s="122"/>
      <c r="V158" s="124"/>
      <c r="W158" s="123"/>
      <c r="X158" s="123"/>
      <c r="Y158" s="122"/>
      <c r="Z158" s="122"/>
      <c r="AA158" s="122"/>
      <c r="AB158" s="126"/>
      <c r="AC158" s="122"/>
      <c r="AD158" s="126"/>
      <c r="AE158" s="124"/>
      <c r="AF158" s="124"/>
    </row>
    <row r="159" spans="2:32" ht="15" customHeight="1" x14ac:dyDescent="0.25">
      <c r="B159" s="125"/>
      <c r="C159" s="124"/>
      <c r="D159" s="124"/>
      <c r="E159" s="124"/>
      <c r="F159" s="124"/>
      <c r="G159" s="124"/>
      <c r="H159" s="124"/>
      <c r="I159" s="124"/>
      <c r="J159" s="124"/>
      <c r="K159" s="124"/>
      <c r="L159" s="123"/>
      <c r="M159" s="125"/>
      <c r="N159" s="125"/>
      <c r="O159" s="125"/>
      <c r="P159" s="125"/>
      <c r="Q159" s="125"/>
      <c r="R159" s="125"/>
      <c r="S159" s="125"/>
      <c r="T159" s="125"/>
      <c r="U159" s="125"/>
      <c r="V159" s="124"/>
      <c r="W159" s="124"/>
      <c r="X159" s="124"/>
      <c r="Y159" s="125"/>
      <c r="Z159" s="125"/>
      <c r="AA159" s="125"/>
      <c r="AB159" s="127"/>
      <c r="AC159" s="125"/>
      <c r="AD159" s="127"/>
      <c r="AE159" s="125"/>
      <c r="AF159" s="125"/>
    </row>
    <row r="160" spans="2:32" ht="15" customHeight="1" x14ac:dyDescent="0.25">
      <c r="B160" s="122"/>
      <c r="C160" s="123"/>
      <c r="D160" s="123"/>
      <c r="E160" s="123"/>
      <c r="F160" s="123"/>
      <c r="G160" s="123"/>
      <c r="H160" s="123"/>
      <c r="I160" s="123"/>
      <c r="J160" s="123"/>
      <c r="K160" s="123"/>
      <c r="L160" s="123"/>
      <c r="M160" s="122"/>
      <c r="N160" s="125"/>
      <c r="O160" s="122"/>
      <c r="P160" s="122"/>
      <c r="Q160" s="122"/>
      <c r="R160" s="122"/>
      <c r="S160" s="122"/>
      <c r="T160" s="122"/>
      <c r="U160" s="122"/>
      <c r="V160" s="124"/>
      <c r="W160" s="123"/>
      <c r="X160" s="123"/>
      <c r="Y160" s="122"/>
      <c r="Z160" s="122"/>
      <c r="AA160" s="122"/>
      <c r="AB160" s="126"/>
      <c r="AC160" s="122"/>
      <c r="AD160" s="126"/>
      <c r="AE160" s="124"/>
      <c r="AF160" s="124"/>
    </row>
    <row r="161" spans="2:32" ht="15" customHeight="1" x14ac:dyDescent="0.25">
      <c r="B161" s="122"/>
      <c r="C161" s="123"/>
      <c r="D161" s="123"/>
      <c r="E161" s="123"/>
      <c r="F161" s="123"/>
      <c r="G161" s="123"/>
      <c r="H161" s="123"/>
      <c r="I161" s="123"/>
      <c r="J161" s="123"/>
      <c r="K161" s="123"/>
      <c r="L161" s="123"/>
      <c r="M161" s="122"/>
      <c r="N161" s="122"/>
      <c r="O161" s="122"/>
      <c r="P161" s="122"/>
      <c r="Q161" s="122"/>
      <c r="R161" s="122"/>
      <c r="S161" s="122"/>
      <c r="T161" s="122"/>
      <c r="U161" s="122"/>
      <c r="V161" s="123"/>
      <c r="W161" s="123"/>
      <c r="X161" s="123"/>
      <c r="Y161" s="122"/>
      <c r="Z161" s="122"/>
      <c r="AA161" s="122"/>
      <c r="AB161" s="126"/>
      <c r="AC161" s="122"/>
      <c r="AD161" s="126"/>
      <c r="AE161" s="122"/>
      <c r="AF161" s="122"/>
    </row>
    <row r="162" spans="2:32" ht="15" customHeight="1" x14ac:dyDescent="0.25">
      <c r="B162" s="125"/>
      <c r="C162" s="124"/>
      <c r="D162" s="124"/>
      <c r="E162" s="124"/>
      <c r="F162" s="124"/>
      <c r="G162" s="124"/>
      <c r="H162" s="124"/>
      <c r="I162" s="124"/>
      <c r="J162" s="124"/>
      <c r="K162" s="124"/>
      <c r="L162" s="123"/>
      <c r="M162" s="125"/>
      <c r="N162" s="125"/>
      <c r="O162" s="125"/>
      <c r="P162" s="125"/>
      <c r="Q162" s="125"/>
      <c r="R162" s="125"/>
      <c r="S162" s="125"/>
      <c r="T162" s="125"/>
      <c r="U162" s="125"/>
      <c r="V162" s="124"/>
      <c r="W162" s="124"/>
      <c r="X162" s="124"/>
      <c r="Y162" s="125"/>
      <c r="Z162" s="125"/>
      <c r="AA162" s="125"/>
      <c r="AB162" s="127"/>
      <c r="AC162" s="125"/>
      <c r="AD162" s="127"/>
      <c r="AE162" s="124"/>
      <c r="AF162" s="124"/>
    </row>
    <row r="163" spans="2:32" ht="15" customHeight="1" x14ac:dyDescent="0.25">
      <c r="B163" s="125"/>
      <c r="C163" s="124"/>
      <c r="D163" s="124"/>
      <c r="E163" s="124"/>
      <c r="F163" s="124"/>
      <c r="G163" s="124"/>
      <c r="H163" s="124"/>
      <c r="I163" s="124"/>
      <c r="J163" s="124"/>
      <c r="K163" s="124"/>
      <c r="L163" s="123"/>
      <c r="M163" s="125"/>
      <c r="N163" s="125"/>
      <c r="O163" s="125"/>
      <c r="P163" s="125"/>
      <c r="Q163" s="125"/>
      <c r="R163" s="125"/>
      <c r="S163" s="125"/>
      <c r="T163" s="125"/>
      <c r="U163" s="125"/>
      <c r="V163" s="124"/>
      <c r="W163" s="124"/>
      <c r="X163" s="124"/>
      <c r="Y163" s="125"/>
      <c r="Z163" s="125"/>
      <c r="AA163" s="125"/>
      <c r="AB163" s="127"/>
      <c r="AC163" s="125"/>
      <c r="AD163" s="127"/>
      <c r="AE163" s="124"/>
      <c r="AF163" s="124"/>
    </row>
    <row r="164" spans="2:32" ht="15" customHeight="1" x14ac:dyDescent="0.25">
      <c r="B164" s="125"/>
      <c r="C164" s="124"/>
      <c r="D164" s="124"/>
      <c r="E164" s="124"/>
      <c r="F164" s="124"/>
      <c r="G164" s="124"/>
      <c r="H164" s="124"/>
      <c r="I164" s="124"/>
      <c r="J164" s="124"/>
      <c r="K164" s="124"/>
      <c r="L164" s="123"/>
      <c r="M164" s="125"/>
      <c r="N164" s="125"/>
      <c r="O164" s="125"/>
      <c r="P164" s="125"/>
      <c r="Q164" s="125"/>
      <c r="R164" s="125"/>
      <c r="S164" s="125"/>
      <c r="T164" s="125"/>
      <c r="U164" s="125"/>
      <c r="V164" s="124"/>
      <c r="W164" s="124"/>
      <c r="X164" s="124"/>
      <c r="Y164" s="125"/>
      <c r="Z164" s="125"/>
      <c r="AA164" s="125"/>
      <c r="AB164" s="127"/>
      <c r="AC164" s="125"/>
      <c r="AD164" s="127"/>
      <c r="AE164" s="125"/>
      <c r="AF164" s="125"/>
    </row>
    <row r="165" spans="2:32" ht="15" customHeight="1" x14ac:dyDescent="0.25">
      <c r="B165" s="125"/>
      <c r="C165" s="124"/>
      <c r="D165" s="124"/>
      <c r="E165" s="124"/>
      <c r="F165" s="124"/>
      <c r="G165" s="124"/>
      <c r="H165" s="124"/>
      <c r="I165" s="124"/>
      <c r="J165" s="124"/>
      <c r="K165" s="124"/>
      <c r="L165" s="123"/>
      <c r="M165" s="125"/>
      <c r="N165" s="124"/>
      <c r="O165" s="125"/>
      <c r="P165" s="125"/>
      <c r="Q165" s="125"/>
      <c r="R165" s="125"/>
      <c r="S165" s="125"/>
      <c r="T165" s="125"/>
      <c r="U165" s="125"/>
      <c r="V165" s="124"/>
      <c r="W165" s="124"/>
      <c r="X165" s="124"/>
      <c r="Y165" s="125"/>
      <c r="Z165" s="125"/>
      <c r="AA165" s="125"/>
      <c r="AB165" s="127"/>
      <c r="AC165" s="125"/>
      <c r="AD165" s="127"/>
      <c r="AE165" s="124"/>
      <c r="AF165" s="124"/>
    </row>
    <row r="166" spans="2:32" ht="15" customHeight="1" x14ac:dyDescent="0.25">
      <c r="B166" s="128"/>
      <c r="C166" s="129"/>
      <c r="D166" s="129"/>
      <c r="E166" s="129"/>
      <c r="F166" s="129"/>
      <c r="G166" s="129"/>
      <c r="H166" s="129"/>
      <c r="I166" s="129"/>
      <c r="J166" s="129"/>
      <c r="K166" s="129"/>
      <c r="L166" s="123"/>
      <c r="M166" s="128"/>
      <c r="N166" s="122"/>
      <c r="O166" s="128"/>
      <c r="P166" s="128"/>
      <c r="Q166" s="128"/>
      <c r="R166" s="128"/>
      <c r="S166" s="128"/>
      <c r="T166" s="128"/>
      <c r="U166" s="128"/>
      <c r="V166" s="123"/>
      <c r="W166" s="129"/>
      <c r="X166" s="129"/>
      <c r="Y166" s="128"/>
      <c r="Z166" s="128"/>
      <c r="AA166" s="128"/>
      <c r="AB166" s="126"/>
      <c r="AC166" s="122"/>
      <c r="AD166" s="126"/>
      <c r="AE166" s="122"/>
      <c r="AF166" s="122"/>
    </row>
    <row r="167" spans="2:32" ht="15" customHeight="1" x14ac:dyDescent="0.25">
      <c r="B167" s="125"/>
      <c r="C167" s="124"/>
      <c r="D167" s="124"/>
      <c r="E167" s="124"/>
      <c r="F167" s="124"/>
      <c r="G167" s="124"/>
      <c r="H167" s="124"/>
      <c r="I167" s="124"/>
      <c r="J167" s="124"/>
      <c r="K167" s="124"/>
      <c r="L167" s="123"/>
      <c r="M167" s="125"/>
      <c r="N167" s="125"/>
      <c r="O167" s="125"/>
      <c r="P167" s="125"/>
      <c r="Q167" s="125"/>
      <c r="R167" s="125"/>
      <c r="S167" s="125"/>
      <c r="T167" s="125"/>
      <c r="U167" s="125"/>
      <c r="V167" s="124"/>
      <c r="W167" s="124"/>
      <c r="X167" s="124"/>
      <c r="Y167" s="125"/>
      <c r="Z167" s="125"/>
      <c r="AA167" s="125"/>
      <c r="AB167" s="127"/>
      <c r="AC167" s="125"/>
      <c r="AD167" s="127"/>
      <c r="AE167" s="124"/>
      <c r="AF167" s="124"/>
    </row>
    <row r="168" spans="2:32" ht="15" customHeight="1" x14ac:dyDescent="0.25">
      <c r="B168" s="122"/>
      <c r="C168" s="123"/>
      <c r="D168" s="123"/>
      <c r="E168" s="123"/>
      <c r="F168" s="123"/>
      <c r="G168" s="123"/>
      <c r="H168" s="123"/>
      <c r="I168" s="123"/>
      <c r="J168" s="123"/>
      <c r="K168" s="123"/>
      <c r="L168" s="123"/>
      <c r="M168" s="122"/>
      <c r="N168" s="125"/>
      <c r="O168" s="122"/>
      <c r="P168" s="122"/>
      <c r="Q168" s="122"/>
      <c r="R168" s="122"/>
      <c r="S168" s="122"/>
      <c r="T168" s="122"/>
      <c r="U168" s="122"/>
      <c r="V168" s="124"/>
      <c r="W168" s="123"/>
      <c r="X168" s="123"/>
      <c r="Y168" s="122"/>
      <c r="Z168" s="122"/>
      <c r="AA168" s="122"/>
      <c r="AB168" s="126"/>
      <c r="AC168" s="122"/>
      <c r="AD168" s="126"/>
      <c r="AE168" s="124"/>
      <c r="AF168" s="124"/>
    </row>
    <row r="169" spans="2:32" ht="15" customHeight="1" x14ac:dyDescent="0.25">
      <c r="B169" s="125"/>
      <c r="C169" s="124"/>
      <c r="D169" s="124"/>
      <c r="E169" s="124"/>
      <c r="F169" s="124"/>
      <c r="G169" s="124"/>
      <c r="H169" s="124"/>
      <c r="I169" s="124"/>
      <c r="J169" s="124"/>
      <c r="K169" s="124"/>
      <c r="L169" s="124"/>
      <c r="M169" s="125"/>
      <c r="N169" s="125"/>
      <c r="O169" s="125"/>
      <c r="P169" s="125"/>
      <c r="Q169" s="125"/>
      <c r="R169" s="125"/>
      <c r="S169" s="125"/>
      <c r="T169" s="125"/>
      <c r="U169" s="125"/>
      <c r="V169" s="124"/>
      <c r="W169" s="124"/>
      <c r="X169" s="124"/>
      <c r="Y169" s="125"/>
      <c r="Z169" s="125"/>
      <c r="AA169" s="125"/>
      <c r="AB169" s="127"/>
      <c r="AC169" s="125"/>
      <c r="AD169" s="127"/>
      <c r="AE169" s="124"/>
      <c r="AF169" s="124"/>
    </row>
    <row r="170" spans="2:32" ht="15" customHeight="1" x14ac:dyDescent="0.25">
      <c r="B170" s="125"/>
      <c r="C170" s="124"/>
      <c r="D170" s="124"/>
      <c r="E170" s="124"/>
      <c r="F170" s="124"/>
      <c r="G170" s="124"/>
      <c r="H170" s="124"/>
      <c r="I170" s="124"/>
      <c r="J170" s="124"/>
      <c r="K170" s="124"/>
      <c r="L170" s="124"/>
      <c r="M170" s="124"/>
      <c r="N170" s="125"/>
      <c r="O170" s="125"/>
      <c r="P170" s="125"/>
      <c r="Q170" s="125"/>
      <c r="R170" s="125"/>
      <c r="S170" s="125"/>
      <c r="T170" s="125"/>
      <c r="U170" s="125"/>
      <c r="V170" s="124"/>
      <c r="W170" s="124"/>
      <c r="X170" s="124"/>
      <c r="Y170" s="125"/>
      <c r="Z170" s="125"/>
      <c r="AA170" s="125"/>
      <c r="AB170" s="127"/>
      <c r="AC170" s="125"/>
      <c r="AD170" s="127"/>
      <c r="AE170" s="125"/>
      <c r="AF170" s="125"/>
    </row>
    <row r="171" spans="2:32" ht="15" customHeight="1" x14ac:dyDescent="0.25">
      <c r="B171" s="125"/>
      <c r="C171" s="124"/>
      <c r="D171" s="124"/>
      <c r="E171" s="124"/>
      <c r="F171" s="124"/>
      <c r="G171" s="124"/>
      <c r="H171" s="124"/>
      <c r="I171" s="124"/>
      <c r="J171" s="124"/>
      <c r="K171" s="124"/>
      <c r="L171" s="124"/>
      <c r="M171" s="124"/>
      <c r="N171" s="125"/>
      <c r="O171" s="125"/>
      <c r="P171" s="125"/>
      <c r="Q171" s="125"/>
      <c r="R171" s="125"/>
      <c r="S171" s="125"/>
      <c r="T171" s="125"/>
      <c r="U171" s="125"/>
      <c r="V171" s="124"/>
      <c r="W171" s="124"/>
      <c r="X171" s="124"/>
      <c r="Y171" s="125"/>
      <c r="Z171" s="125"/>
      <c r="AA171" s="125"/>
      <c r="AB171" s="127"/>
      <c r="AC171" s="125"/>
      <c r="AD171" s="127"/>
      <c r="AE171" s="125"/>
      <c r="AF171" s="125"/>
    </row>
    <row r="172" spans="2:32" ht="15" customHeight="1" x14ac:dyDescent="0.25">
      <c r="B172" s="125"/>
      <c r="C172" s="124"/>
      <c r="D172" s="124"/>
      <c r="E172" s="124"/>
      <c r="F172" s="124"/>
      <c r="G172" s="124"/>
      <c r="H172" s="124"/>
      <c r="I172" s="124"/>
      <c r="J172" s="124"/>
      <c r="K172" s="124"/>
      <c r="L172" s="124"/>
      <c r="M172" s="125"/>
      <c r="N172" s="125"/>
      <c r="O172" s="125"/>
      <c r="P172" s="125"/>
      <c r="Q172" s="125"/>
      <c r="R172" s="125"/>
      <c r="S172" s="125"/>
      <c r="T172" s="125"/>
      <c r="U172" s="125"/>
      <c r="V172" s="124"/>
      <c r="W172" s="124"/>
      <c r="X172" s="124"/>
      <c r="Y172" s="125"/>
      <c r="Z172" s="125"/>
      <c r="AA172" s="125"/>
      <c r="AB172" s="127"/>
      <c r="AC172" s="125"/>
      <c r="AD172" s="127"/>
      <c r="AE172" s="125"/>
      <c r="AF172" s="125"/>
    </row>
    <row r="173" spans="2:32" ht="15" customHeight="1" x14ac:dyDescent="0.25">
      <c r="B173" s="125"/>
      <c r="C173" s="124"/>
      <c r="D173" s="124"/>
      <c r="E173" s="124"/>
      <c r="F173" s="124"/>
      <c r="G173" s="124"/>
      <c r="H173" s="124"/>
      <c r="I173" s="124"/>
      <c r="J173" s="124"/>
      <c r="K173" s="124"/>
      <c r="L173" s="124"/>
      <c r="M173" s="125"/>
      <c r="N173" s="125"/>
      <c r="O173" s="125"/>
      <c r="P173" s="125"/>
      <c r="Q173" s="125"/>
      <c r="R173" s="125"/>
      <c r="S173" s="125"/>
      <c r="T173" s="125"/>
      <c r="U173" s="125"/>
      <c r="V173" s="124"/>
      <c r="W173" s="124"/>
      <c r="X173" s="124"/>
      <c r="Y173" s="125"/>
      <c r="Z173" s="125"/>
      <c r="AA173" s="125"/>
      <c r="AB173" s="127"/>
      <c r="AC173" s="125"/>
      <c r="AD173" s="127"/>
      <c r="AE173" s="124"/>
      <c r="AF173" s="124"/>
    </row>
    <row r="174" spans="2:32" ht="15" customHeight="1" x14ac:dyDescent="0.25">
      <c r="B174" s="125"/>
      <c r="C174" s="124"/>
      <c r="D174" s="124"/>
      <c r="E174" s="124"/>
      <c r="F174" s="124"/>
      <c r="G174" s="124"/>
      <c r="H174" s="124"/>
      <c r="I174" s="124"/>
      <c r="J174" s="124"/>
      <c r="K174" s="124"/>
      <c r="L174" s="124"/>
      <c r="M174" s="125"/>
      <c r="N174" s="125"/>
      <c r="O174" s="125"/>
      <c r="P174" s="125"/>
      <c r="Q174" s="125"/>
      <c r="R174" s="125"/>
      <c r="S174" s="125"/>
      <c r="T174" s="125"/>
      <c r="U174" s="125"/>
      <c r="V174" s="124"/>
      <c r="W174" s="124"/>
      <c r="X174" s="124"/>
      <c r="Y174" s="125"/>
      <c r="Z174" s="125"/>
      <c r="AA174" s="125"/>
      <c r="AB174" s="127"/>
      <c r="AC174" s="125"/>
      <c r="AD174" s="127"/>
      <c r="AE174" s="124"/>
      <c r="AF174" s="124"/>
    </row>
    <row r="175" spans="2:32" ht="15" customHeight="1" x14ac:dyDescent="0.25">
      <c r="B175" s="125"/>
      <c r="C175" s="124"/>
      <c r="D175" s="124"/>
      <c r="E175" s="124"/>
      <c r="F175" s="124"/>
      <c r="G175" s="124"/>
      <c r="H175" s="124"/>
      <c r="I175" s="124"/>
      <c r="J175" s="124"/>
      <c r="K175" s="124"/>
      <c r="L175" s="124"/>
      <c r="M175" s="125"/>
      <c r="N175" s="125"/>
      <c r="O175" s="125"/>
      <c r="P175" s="125"/>
      <c r="Q175" s="125"/>
      <c r="R175" s="125"/>
      <c r="S175" s="125"/>
      <c r="T175" s="125"/>
      <c r="U175" s="125"/>
      <c r="V175" s="124"/>
      <c r="W175" s="124"/>
      <c r="X175" s="124"/>
      <c r="Y175" s="125"/>
      <c r="Z175" s="125"/>
      <c r="AA175" s="125"/>
      <c r="AB175" s="127"/>
      <c r="AC175" s="125"/>
      <c r="AD175" s="127"/>
      <c r="AE175" s="124"/>
      <c r="AF175" s="124"/>
    </row>
    <row r="176" spans="2:32" ht="15" customHeight="1" x14ac:dyDescent="0.25">
      <c r="B176" s="125"/>
      <c r="C176" s="124"/>
      <c r="D176" s="124"/>
      <c r="E176" s="124"/>
      <c r="F176" s="124"/>
      <c r="G176" s="124"/>
      <c r="H176" s="124"/>
      <c r="I176" s="124"/>
      <c r="J176" s="124"/>
      <c r="K176" s="124"/>
      <c r="L176" s="124"/>
      <c r="M176" s="125"/>
      <c r="N176" s="125"/>
      <c r="O176" s="125"/>
      <c r="P176" s="125"/>
      <c r="Q176" s="125"/>
      <c r="R176" s="125"/>
      <c r="S176" s="125"/>
      <c r="T176" s="125"/>
      <c r="U176" s="125"/>
      <c r="V176" s="124"/>
      <c r="W176" s="124"/>
      <c r="X176" s="124"/>
      <c r="Y176" s="125"/>
      <c r="Z176" s="125"/>
      <c r="AA176" s="125"/>
      <c r="AB176" s="127"/>
      <c r="AC176" s="125"/>
      <c r="AD176" s="127"/>
      <c r="AE176" s="124"/>
      <c r="AF176" s="124"/>
    </row>
    <row r="177" spans="2:32" ht="15" customHeight="1" x14ac:dyDescent="0.25">
      <c r="B177" s="122"/>
      <c r="C177" s="123"/>
      <c r="D177" s="123"/>
      <c r="E177" s="123"/>
      <c r="F177" s="123"/>
      <c r="G177" s="123"/>
      <c r="H177" s="123"/>
      <c r="I177" s="123"/>
      <c r="J177" s="123"/>
      <c r="K177" s="123"/>
      <c r="M177" s="132"/>
      <c r="N177" s="132"/>
      <c r="O177" s="122"/>
      <c r="P177" s="122"/>
      <c r="Q177" s="122"/>
      <c r="R177" s="122"/>
      <c r="S177" s="122"/>
      <c r="T177" s="122"/>
      <c r="U177" s="122"/>
      <c r="V177" s="124"/>
      <c r="W177" s="133"/>
      <c r="X177" s="133"/>
      <c r="Y177" s="132"/>
      <c r="Z177" s="132"/>
      <c r="AA177" s="132"/>
      <c r="AE177" s="124"/>
      <c r="AF177" s="124"/>
    </row>
    <row r="178" spans="2:32" ht="15" customHeight="1" x14ac:dyDescent="0.25">
      <c r="D178" s="111"/>
      <c r="E178" s="111"/>
      <c r="F178" s="111"/>
      <c r="G178" s="111"/>
      <c r="H178" s="111"/>
      <c r="I178" s="111"/>
      <c r="J178" s="111"/>
      <c r="K178" s="111"/>
      <c r="M178" s="128"/>
      <c r="V178" s="123"/>
      <c r="Y178" s="110"/>
      <c r="Z178" s="110"/>
      <c r="AA178" s="110"/>
      <c r="AB178" s="126"/>
      <c r="AC178" s="122"/>
      <c r="AD178" s="126"/>
      <c r="AE178" s="122"/>
      <c r="AF178" s="122"/>
    </row>
    <row r="179" spans="2:32" ht="15" customHeight="1" x14ac:dyDescent="0.25">
      <c r="B179" s="125"/>
      <c r="C179" s="124"/>
      <c r="D179" s="124"/>
      <c r="E179" s="124"/>
      <c r="F179" s="124"/>
      <c r="G179" s="124"/>
      <c r="H179" s="124"/>
      <c r="I179" s="124"/>
      <c r="J179" s="124"/>
      <c r="K179" s="124"/>
      <c r="L179" s="123"/>
      <c r="M179" s="125"/>
      <c r="N179" s="124"/>
      <c r="O179" s="125"/>
      <c r="P179" s="125"/>
      <c r="Q179" s="125"/>
      <c r="R179" s="125"/>
      <c r="S179" s="125"/>
      <c r="T179" s="125"/>
      <c r="U179" s="125"/>
      <c r="V179" s="124"/>
      <c r="W179" s="124"/>
      <c r="X179" s="124"/>
      <c r="Y179" s="125"/>
      <c r="Z179" s="125"/>
      <c r="AA179" s="125"/>
      <c r="AB179" s="127"/>
      <c r="AC179" s="125"/>
      <c r="AD179" s="127"/>
      <c r="AE179" s="124"/>
      <c r="AF179" s="124"/>
    </row>
    <row r="180" spans="2:32" ht="15" customHeight="1" x14ac:dyDescent="0.25">
      <c r="B180" s="122"/>
      <c r="C180" s="131"/>
      <c r="D180" s="123"/>
      <c r="E180" s="123"/>
      <c r="F180" s="123"/>
      <c r="G180" s="123"/>
      <c r="H180" s="123"/>
      <c r="I180" s="123"/>
      <c r="J180" s="123"/>
      <c r="K180" s="123"/>
      <c r="L180" s="124"/>
      <c r="M180" s="122"/>
      <c r="N180" s="132"/>
      <c r="O180" s="122"/>
      <c r="P180" s="122"/>
      <c r="Q180" s="122"/>
      <c r="R180" s="122"/>
      <c r="S180" s="122"/>
      <c r="T180" s="122"/>
      <c r="U180" s="122"/>
      <c r="V180" s="124"/>
      <c r="W180" s="123"/>
      <c r="X180" s="123"/>
      <c r="Y180" s="122"/>
      <c r="Z180" s="122"/>
      <c r="AA180" s="122"/>
      <c r="AB180" s="126"/>
      <c r="AC180" s="122"/>
      <c r="AD180" s="126"/>
      <c r="AE180" s="124"/>
      <c r="AF180" s="124"/>
    </row>
    <row r="181" spans="2:32" ht="15" customHeight="1" x14ac:dyDescent="0.25">
      <c r="B181" s="125"/>
      <c r="C181" s="123"/>
      <c r="D181" s="123"/>
      <c r="E181" s="123"/>
      <c r="F181" s="123"/>
      <c r="G181" s="123"/>
      <c r="H181" s="123"/>
      <c r="I181" s="123"/>
      <c r="J181" s="123"/>
      <c r="K181" s="123"/>
      <c r="L181" s="123"/>
      <c r="M181" s="124"/>
      <c r="N181" s="125"/>
      <c r="O181" s="125"/>
      <c r="P181" s="125"/>
      <c r="Q181" s="125"/>
      <c r="R181" s="125"/>
      <c r="S181" s="125"/>
      <c r="T181" s="125"/>
      <c r="U181" s="125"/>
      <c r="V181" s="124"/>
      <c r="W181" s="124"/>
      <c r="X181" s="124"/>
      <c r="Y181" s="125"/>
      <c r="Z181" s="125"/>
      <c r="AA181" s="125"/>
      <c r="AB181" s="127"/>
      <c r="AC181" s="125"/>
      <c r="AD181" s="127"/>
      <c r="AE181" s="125"/>
      <c r="AF181" s="125"/>
    </row>
    <row r="182" spans="2:32" ht="15" customHeight="1" x14ac:dyDescent="0.25">
      <c r="D182" s="111"/>
      <c r="E182" s="111"/>
      <c r="F182" s="111"/>
      <c r="G182" s="111"/>
      <c r="H182" s="111"/>
      <c r="I182" s="111"/>
      <c r="J182" s="111"/>
      <c r="K182" s="111"/>
      <c r="V182" s="124"/>
      <c r="Y182" s="110"/>
      <c r="Z182" s="110"/>
      <c r="AA182" s="110"/>
      <c r="AE182" s="124"/>
      <c r="AF182" s="124"/>
    </row>
    <row r="183" spans="2:32" ht="15" customHeight="1" x14ac:dyDescent="0.25">
      <c r="B183" s="125"/>
      <c r="C183" s="123"/>
      <c r="D183" s="123"/>
      <c r="E183" s="123"/>
      <c r="F183" s="123"/>
      <c r="G183" s="123"/>
      <c r="H183" s="123"/>
      <c r="I183" s="123"/>
      <c r="J183" s="123"/>
      <c r="K183" s="123"/>
      <c r="L183" s="123"/>
      <c r="M183" s="125"/>
      <c r="N183" s="125"/>
      <c r="O183" s="125"/>
      <c r="P183" s="125"/>
      <c r="Q183" s="125"/>
      <c r="R183" s="125"/>
      <c r="S183" s="125"/>
      <c r="T183" s="125"/>
      <c r="U183" s="125"/>
      <c r="V183" s="124"/>
      <c r="W183" s="124"/>
      <c r="X183" s="124"/>
      <c r="Y183" s="125"/>
      <c r="Z183" s="125"/>
      <c r="AA183" s="125"/>
      <c r="AB183" s="127"/>
      <c r="AC183" s="125"/>
      <c r="AD183" s="127"/>
      <c r="AE183" s="124"/>
      <c r="AF183" s="124"/>
    </row>
    <row r="184" spans="2:32" ht="15" customHeight="1" x14ac:dyDescent="0.25">
      <c r="B184" s="125"/>
      <c r="C184" s="123"/>
      <c r="D184" s="123"/>
      <c r="E184" s="123"/>
      <c r="F184" s="123"/>
      <c r="G184" s="123"/>
      <c r="H184" s="123"/>
      <c r="I184" s="123"/>
      <c r="J184" s="123"/>
      <c r="K184" s="123"/>
      <c r="L184" s="123"/>
      <c r="M184" s="125"/>
      <c r="N184" s="125"/>
      <c r="O184" s="125"/>
      <c r="P184" s="125"/>
      <c r="Q184" s="125"/>
      <c r="R184" s="125"/>
      <c r="S184" s="125"/>
      <c r="T184" s="125"/>
      <c r="U184" s="125"/>
      <c r="V184" s="124"/>
      <c r="W184" s="124"/>
      <c r="X184" s="124"/>
      <c r="Y184" s="125"/>
      <c r="Z184" s="125"/>
      <c r="AA184" s="125"/>
      <c r="AB184" s="127"/>
      <c r="AC184" s="125"/>
      <c r="AD184" s="127"/>
      <c r="AE184" s="124"/>
      <c r="AF184" s="124"/>
    </row>
    <row r="185" spans="2:32" ht="15" customHeight="1" x14ac:dyDescent="0.25">
      <c r="B185" s="125"/>
      <c r="C185" s="123"/>
      <c r="D185" s="123"/>
      <c r="E185" s="123"/>
      <c r="F185" s="123"/>
      <c r="G185" s="123"/>
      <c r="H185" s="123"/>
      <c r="I185" s="123"/>
      <c r="J185" s="123"/>
      <c r="K185" s="123"/>
      <c r="L185" s="123"/>
      <c r="M185" s="124"/>
      <c r="N185" s="125"/>
      <c r="O185" s="125"/>
      <c r="P185" s="125"/>
      <c r="Q185" s="125"/>
      <c r="R185" s="125"/>
      <c r="S185" s="125"/>
      <c r="T185" s="125"/>
      <c r="U185" s="125"/>
      <c r="V185" s="124"/>
      <c r="W185" s="124"/>
      <c r="X185" s="124"/>
      <c r="Y185" s="125"/>
      <c r="Z185" s="125"/>
      <c r="AA185" s="125"/>
      <c r="AB185" s="127"/>
      <c r="AC185" s="125"/>
      <c r="AD185" s="127"/>
      <c r="AE185" s="124"/>
      <c r="AF185" s="124"/>
    </row>
    <row r="186" spans="2:32" ht="15" customHeight="1" x14ac:dyDescent="0.25">
      <c r="B186" s="122"/>
      <c r="C186" s="123"/>
      <c r="D186" s="123"/>
      <c r="E186" s="123"/>
      <c r="F186" s="123"/>
      <c r="G186" s="123"/>
      <c r="H186" s="123"/>
      <c r="I186" s="123"/>
      <c r="J186" s="123"/>
      <c r="K186" s="123"/>
      <c r="L186" s="123"/>
      <c r="M186" s="122"/>
      <c r="N186" s="122"/>
      <c r="O186" s="122"/>
      <c r="P186" s="122"/>
      <c r="Q186" s="122"/>
      <c r="R186" s="122"/>
      <c r="S186" s="122"/>
      <c r="T186" s="122"/>
      <c r="U186" s="122"/>
      <c r="V186" s="123"/>
      <c r="W186" s="123"/>
      <c r="X186" s="123"/>
      <c r="Y186" s="122"/>
      <c r="Z186" s="122"/>
      <c r="AA186" s="122"/>
      <c r="AB186" s="126"/>
      <c r="AC186" s="122"/>
      <c r="AD186" s="126"/>
      <c r="AE186" s="122"/>
      <c r="AF186" s="122"/>
    </row>
    <row r="187" spans="2:32" ht="15" customHeight="1" x14ac:dyDescent="0.25">
      <c r="B187" s="125"/>
      <c r="C187" s="123"/>
      <c r="D187" s="123"/>
      <c r="E187" s="123"/>
      <c r="F187" s="123"/>
      <c r="G187" s="123"/>
      <c r="H187" s="123"/>
      <c r="I187" s="123"/>
      <c r="J187" s="123"/>
      <c r="K187" s="123"/>
      <c r="L187" s="123"/>
      <c r="M187" s="125"/>
      <c r="N187" s="125"/>
      <c r="O187" s="125"/>
      <c r="P187" s="125"/>
      <c r="Q187" s="125"/>
      <c r="R187" s="125"/>
      <c r="S187" s="125"/>
      <c r="T187" s="125"/>
      <c r="U187" s="125"/>
      <c r="V187" s="124"/>
      <c r="W187" s="124"/>
      <c r="X187" s="124"/>
      <c r="Y187" s="125"/>
      <c r="Z187" s="125"/>
      <c r="AA187" s="125"/>
      <c r="AB187" s="127"/>
      <c r="AC187" s="125"/>
      <c r="AD187" s="127"/>
      <c r="AE187" s="125"/>
      <c r="AF187" s="125"/>
    </row>
    <row r="188" spans="2:32" ht="15" customHeight="1" x14ac:dyDescent="0.25">
      <c r="B188" s="125"/>
      <c r="C188" s="123"/>
      <c r="D188" s="123"/>
      <c r="E188" s="123"/>
      <c r="F188" s="123"/>
      <c r="G188" s="123"/>
      <c r="H188" s="123"/>
      <c r="I188" s="123"/>
      <c r="J188" s="123"/>
      <c r="K188" s="123"/>
      <c r="L188" s="123"/>
      <c r="M188" s="125"/>
      <c r="N188" s="125"/>
      <c r="O188" s="125"/>
      <c r="P188" s="125"/>
      <c r="Q188" s="125"/>
      <c r="R188" s="125"/>
      <c r="S188" s="125"/>
      <c r="T188" s="125"/>
      <c r="U188" s="125"/>
      <c r="V188" s="124"/>
      <c r="W188" s="124"/>
      <c r="X188" s="124"/>
      <c r="Y188" s="125"/>
      <c r="Z188" s="125"/>
      <c r="AA188" s="125"/>
      <c r="AB188" s="127"/>
      <c r="AC188" s="125"/>
      <c r="AD188" s="127"/>
      <c r="AE188" s="125"/>
      <c r="AF188" s="125"/>
    </row>
    <row r="189" spans="2:32" ht="15" customHeight="1" x14ac:dyDescent="0.25">
      <c r="B189" s="128"/>
      <c r="C189" s="129"/>
      <c r="D189" s="129"/>
      <c r="E189" s="129"/>
      <c r="F189" s="129"/>
      <c r="G189" s="129"/>
      <c r="H189" s="129"/>
      <c r="I189" s="129"/>
      <c r="J189" s="129"/>
      <c r="K189" s="129"/>
      <c r="L189" s="129"/>
      <c r="M189" s="128"/>
      <c r="N189" s="128"/>
      <c r="O189" s="128"/>
      <c r="P189" s="128"/>
      <c r="Q189" s="128"/>
      <c r="R189" s="128"/>
      <c r="S189" s="128"/>
      <c r="T189" s="128"/>
      <c r="U189" s="128"/>
      <c r="V189" s="123"/>
      <c r="W189" s="129"/>
      <c r="X189" s="129"/>
      <c r="Y189" s="128"/>
      <c r="Z189" s="128"/>
      <c r="AA189" s="128"/>
      <c r="AB189" s="126"/>
      <c r="AC189" s="122"/>
      <c r="AD189" s="126"/>
      <c r="AE189" s="122"/>
      <c r="AF189" s="122"/>
    </row>
    <row r="190" spans="2:32" ht="15" customHeight="1" x14ac:dyDescent="0.25">
      <c r="B190" s="125"/>
      <c r="C190" s="123"/>
      <c r="D190" s="123"/>
      <c r="E190" s="123"/>
      <c r="F190" s="123"/>
      <c r="G190" s="123"/>
      <c r="H190" s="123"/>
      <c r="I190" s="123"/>
      <c r="J190" s="123"/>
      <c r="K190" s="123"/>
      <c r="L190" s="123"/>
      <c r="M190" s="125"/>
      <c r="N190" s="125"/>
      <c r="O190" s="125"/>
      <c r="P190" s="125"/>
      <c r="Q190" s="125"/>
      <c r="R190" s="125"/>
      <c r="S190" s="125"/>
      <c r="T190" s="125"/>
      <c r="U190" s="125"/>
      <c r="V190" s="124"/>
      <c r="W190" s="124"/>
      <c r="X190" s="124"/>
      <c r="Y190" s="125"/>
      <c r="Z190" s="125"/>
      <c r="AA190" s="125"/>
      <c r="AB190" s="127"/>
      <c r="AC190" s="125"/>
      <c r="AD190" s="127"/>
      <c r="AE190" s="125"/>
      <c r="AF190" s="125"/>
    </row>
    <row r="191" spans="2:32" ht="15" customHeight="1" x14ac:dyDescent="0.25">
      <c r="B191" s="122"/>
      <c r="C191" s="123"/>
      <c r="D191" s="123"/>
      <c r="E191" s="123"/>
      <c r="F191" s="123"/>
      <c r="G191" s="123"/>
      <c r="H191" s="123"/>
      <c r="I191" s="123"/>
      <c r="J191" s="123"/>
      <c r="K191" s="123"/>
      <c r="L191" s="123"/>
      <c r="M191" s="122"/>
      <c r="N191" s="122"/>
      <c r="O191" s="122"/>
      <c r="P191" s="122"/>
      <c r="Q191" s="122"/>
      <c r="R191" s="122"/>
      <c r="S191" s="122"/>
      <c r="T191" s="122"/>
      <c r="U191" s="122"/>
      <c r="V191" s="124"/>
      <c r="W191" s="123"/>
      <c r="X191" s="123"/>
      <c r="Y191" s="122"/>
      <c r="Z191" s="122"/>
      <c r="AA191" s="122"/>
      <c r="AB191" s="126"/>
      <c r="AC191" s="122"/>
      <c r="AD191" s="126"/>
      <c r="AE191" s="124"/>
      <c r="AF191" s="124"/>
    </row>
    <row r="192" spans="2:32" ht="15" customHeight="1" x14ac:dyDescent="0.25">
      <c r="B192" s="122"/>
      <c r="C192" s="123"/>
      <c r="D192" s="123"/>
      <c r="E192" s="123"/>
      <c r="F192" s="123"/>
      <c r="G192" s="123"/>
      <c r="H192" s="123"/>
      <c r="I192" s="123"/>
      <c r="J192" s="123"/>
      <c r="K192" s="123"/>
      <c r="L192" s="123"/>
      <c r="M192" s="122"/>
      <c r="N192" s="122"/>
      <c r="O192" s="122"/>
      <c r="P192" s="122"/>
      <c r="Q192" s="122"/>
      <c r="R192" s="122"/>
      <c r="S192" s="122"/>
      <c r="T192" s="122"/>
      <c r="U192" s="122"/>
      <c r="V192" s="124"/>
      <c r="W192" s="123"/>
      <c r="X192" s="123"/>
      <c r="Y192" s="122"/>
      <c r="Z192" s="122"/>
      <c r="AA192" s="122"/>
      <c r="AB192" s="126"/>
      <c r="AC192" s="122"/>
      <c r="AD192" s="126"/>
      <c r="AE192" s="124"/>
      <c r="AF192" s="124"/>
    </row>
    <row r="193" spans="2:32" ht="15" customHeight="1" x14ac:dyDescent="0.25">
      <c r="B193" s="128"/>
      <c r="C193" s="129"/>
      <c r="D193" s="129"/>
      <c r="E193" s="129"/>
      <c r="F193" s="129"/>
      <c r="G193" s="129"/>
      <c r="H193" s="129"/>
      <c r="I193" s="129"/>
      <c r="J193" s="129"/>
      <c r="K193" s="129"/>
      <c r="L193" s="129"/>
      <c r="M193" s="129"/>
      <c r="N193" s="128"/>
      <c r="O193" s="128"/>
      <c r="P193" s="128"/>
      <c r="Q193" s="128"/>
      <c r="R193" s="128"/>
      <c r="S193" s="128"/>
      <c r="T193" s="128"/>
      <c r="U193" s="128"/>
      <c r="V193" s="123"/>
      <c r="W193" s="129"/>
      <c r="X193" s="129"/>
      <c r="Y193" s="128"/>
      <c r="Z193" s="128"/>
      <c r="AA193" s="128"/>
      <c r="AB193" s="126"/>
      <c r="AC193" s="122"/>
      <c r="AD193" s="127"/>
      <c r="AE193" s="122"/>
      <c r="AF193" s="122"/>
    </row>
    <row r="194" spans="2:32" ht="15" customHeight="1" x14ac:dyDescent="0.25">
      <c r="B194" s="128"/>
      <c r="C194" s="129"/>
      <c r="D194" s="129"/>
      <c r="E194" s="129"/>
      <c r="F194" s="129"/>
      <c r="G194" s="129"/>
      <c r="H194" s="129"/>
      <c r="I194" s="129"/>
      <c r="J194" s="129"/>
      <c r="K194" s="129"/>
      <c r="L194" s="129"/>
      <c r="M194" s="128"/>
      <c r="N194" s="128"/>
      <c r="O194" s="128"/>
      <c r="P194" s="128"/>
      <c r="Q194" s="128"/>
      <c r="R194" s="128"/>
      <c r="S194" s="128"/>
      <c r="T194" s="128"/>
      <c r="U194" s="128"/>
      <c r="V194" s="123"/>
      <c r="W194" s="129"/>
      <c r="X194" s="129"/>
      <c r="Y194" s="128"/>
      <c r="Z194" s="128"/>
      <c r="AA194" s="128"/>
      <c r="AB194" s="126"/>
      <c r="AC194" s="122"/>
      <c r="AD194" s="127"/>
      <c r="AE194" s="122"/>
      <c r="AF194" s="122"/>
    </row>
    <row r="195" spans="2:32" ht="15" customHeight="1" x14ac:dyDescent="0.25">
      <c r="B195" s="125"/>
      <c r="C195" s="123"/>
      <c r="D195" s="123"/>
      <c r="E195" s="123"/>
      <c r="F195" s="123"/>
      <c r="G195" s="123"/>
      <c r="H195" s="123"/>
      <c r="I195" s="123"/>
      <c r="J195" s="123"/>
      <c r="K195" s="123"/>
      <c r="L195" s="123"/>
      <c r="M195" s="125"/>
      <c r="N195" s="125"/>
      <c r="O195" s="125"/>
      <c r="P195" s="125"/>
      <c r="Q195" s="125"/>
      <c r="R195" s="125"/>
      <c r="S195" s="125"/>
      <c r="T195" s="125"/>
      <c r="U195" s="125"/>
      <c r="V195" s="124"/>
      <c r="W195" s="124"/>
      <c r="X195" s="124"/>
      <c r="Y195" s="125"/>
      <c r="Z195" s="125"/>
      <c r="AA195" s="125"/>
      <c r="AB195" s="127"/>
      <c r="AC195" s="125"/>
      <c r="AD195" s="127"/>
      <c r="AE195" s="124"/>
      <c r="AF195" s="124"/>
    </row>
    <row r="196" spans="2:32" ht="15" customHeight="1" x14ac:dyDescent="0.25">
      <c r="B196" s="125"/>
      <c r="C196" s="123"/>
      <c r="D196" s="123"/>
      <c r="E196" s="123"/>
      <c r="F196" s="123"/>
      <c r="G196" s="123"/>
      <c r="H196" s="123"/>
      <c r="I196" s="123"/>
      <c r="J196" s="123"/>
      <c r="K196" s="123"/>
      <c r="L196" s="123"/>
      <c r="M196" s="125"/>
      <c r="N196" s="125"/>
      <c r="O196" s="125"/>
      <c r="P196" s="125"/>
      <c r="Q196" s="125"/>
      <c r="R196" s="125"/>
      <c r="S196" s="125"/>
      <c r="T196" s="125"/>
      <c r="U196" s="125"/>
      <c r="V196" s="124"/>
      <c r="W196" s="124"/>
      <c r="X196" s="124"/>
      <c r="Y196" s="125"/>
      <c r="Z196" s="125"/>
      <c r="AA196" s="125"/>
      <c r="AB196" s="127"/>
      <c r="AC196" s="125"/>
      <c r="AD196" s="127"/>
      <c r="AE196" s="124"/>
      <c r="AF196" s="124"/>
    </row>
    <row r="197" spans="2:32" ht="15" customHeight="1" x14ac:dyDescent="0.25">
      <c r="B197" s="125"/>
      <c r="C197" s="123"/>
      <c r="D197" s="123"/>
      <c r="E197" s="123"/>
      <c r="F197" s="123"/>
      <c r="G197" s="123"/>
      <c r="H197" s="123"/>
      <c r="I197" s="123"/>
      <c r="J197" s="123"/>
      <c r="K197" s="123"/>
      <c r="L197" s="123"/>
      <c r="M197" s="125"/>
      <c r="N197" s="125"/>
      <c r="O197" s="125"/>
      <c r="P197" s="125"/>
      <c r="Q197" s="125"/>
      <c r="R197" s="125"/>
      <c r="S197" s="125"/>
      <c r="T197" s="125"/>
      <c r="U197" s="125"/>
      <c r="V197" s="124"/>
      <c r="W197" s="124"/>
      <c r="X197" s="124"/>
      <c r="Y197" s="125"/>
      <c r="Z197" s="125"/>
      <c r="AA197" s="125"/>
      <c r="AB197" s="127"/>
      <c r="AC197" s="125"/>
      <c r="AD197" s="127"/>
      <c r="AE197" s="124"/>
      <c r="AF197" s="124"/>
    </row>
    <row r="198" spans="2:32" ht="15" customHeight="1" x14ac:dyDescent="0.25">
      <c r="B198" s="124"/>
      <c r="C198" s="123"/>
      <c r="D198" s="123"/>
      <c r="E198" s="123"/>
      <c r="F198" s="123"/>
      <c r="G198" s="123"/>
      <c r="H198" s="123"/>
      <c r="I198" s="123"/>
      <c r="J198" s="123"/>
      <c r="K198" s="123"/>
      <c r="L198" s="123"/>
      <c r="M198" s="124"/>
      <c r="N198" s="124"/>
      <c r="O198" s="124"/>
      <c r="P198" s="124"/>
      <c r="Q198" s="124"/>
      <c r="R198" s="124"/>
      <c r="S198" s="124"/>
      <c r="T198" s="124"/>
      <c r="U198" s="124"/>
      <c r="V198" s="124"/>
      <c r="W198" s="124"/>
      <c r="X198" s="124"/>
      <c r="Y198" s="124"/>
      <c r="Z198" s="124"/>
      <c r="AA198" s="124"/>
      <c r="AB198" s="126"/>
      <c r="AC198" s="122"/>
      <c r="AD198" s="126"/>
      <c r="AE198" s="124"/>
      <c r="AF198" s="124"/>
    </row>
    <row r="199" spans="2:32" ht="15" customHeight="1" x14ac:dyDescent="0.25">
      <c r="B199" s="122"/>
      <c r="C199" s="123"/>
      <c r="D199" s="123"/>
      <c r="E199" s="123"/>
      <c r="F199" s="123"/>
      <c r="G199" s="123"/>
      <c r="H199" s="123"/>
      <c r="I199" s="123"/>
      <c r="J199" s="123"/>
      <c r="K199" s="123"/>
      <c r="L199" s="123"/>
      <c r="M199" s="122"/>
      <c r="N199" s="122"/>
      <c r="O199" s="122"/>
      <c r="P199" s="122"/>
      <c r="Q199" s="122"/>
      <c r="R199" s="122"/>
      <c r="S199" s="122"/>
      <c r="T199" s="122"/>
      <c r="U199" s="122"/>
      <c r="V199" s="123"/>
      <c r="W199" s="123"/>
      <c r="X199" s="123"/>
      <c r="Y199" s="122"/>
      <c r="Z199" s="122"/>
      <c r="AA199" s="122"/>
      <c r="AB199" s="126"/>
      <c r="AC199" s="122"/>
      <c r="AD199" s="126"/>
      <c r="AE199" s="122"/>
      <c r="AF199" s="122"/>
    </row>
    <row r="200" spans="2:32" ht="15" customHeight="1" x14ac:dyDescent="0.25">
      <c r="B200" s="122"/>
      <c r="C200" s="123"/>
      <c r="D200" s="123"/>
      <c r="E200" s="123"/>
      <c r="F200" s="123"/>
      <c r="G200" s="123"/>
      <c r="H200" s="123"/>
      <c r="I200" s="123"/>
      <c r="J200" s="123"/>
      <c r="K200" s="123"/>
      <c r="L200" s="123"/>
      <c r="M200" s="122"/>
      <c r="N200" s="122"/>
      <c r="O200" s="122"/>
      <c r="P200" s="122"/>
      <c r="Q200" s="122"/>
      <c r="R200" s="122"/>
      <c r="S200" s="122"/>
      <c r="T200" s="122"/>
      <c r="U200" s="122"/>
      <c r="V200" s="124"/>
      <c r="W200" s="123"/>
      <c r="X200" s="123"/>
      <c r="Y200" s="122"/>
      <c r="Z200" s="122"/>
      <c r="AA200" s="122"/>
      <c r="AB200" s="126"/>
      <c r="AC200" s="122"/>
      <c r="AD200" s="126"/>
      <c r="AE200" s="124"/>
      <c r="AF200" s="124"/>
    </row>
    <row r="201" spans="2:32" ht="15" customHeight="1" x14ac:dyDescent="0.25">
      <c r="B201" s="125"/>
      <c r="C201" s="123"/>
      <c r="D201" s="123"/>
      <c r="E201" s="123"/>
      <c r="F201" s="123"/>
      <c r="G201" s="123"/>
      <c r="H201" s="123"/>
      <c r="I201" s="123"/>
      <c r="J201" s="123"/>
      <c r="K201" s="123"/>
      <c r="L201" s="123"/>
      <c r="M201" s="124"/>
      <c r="N201" s="125"/>
      <c r="O201" s="125"/>
      <c r="P201" s="125"/>
      <c r="Q201" s="125"/>
      <c r="R201" s="125"/>
      <c r="S201" s="125"/>
      <c r="T201" s="125"/>
      <c r="U201" s="125"/>
      <c r="V201" s="124"/>
      <c r="W201" s="124"/>
      <c r="X201" s="124"/>
      <c r="Y201" s="125"/>
      <c r="Z201" s="125"/>
      <c r="AA201" s="125"/>
      <c r="AB201" s="127"/>
      <c r="AC201" s="125"/>
      <c r="AD201" s="127"/>
      <c r="AE201" s="125"/>
      <c r="AF201" s="125"/>
    </row>
    <row r="202" spans="2:32" ht="15" customHeight="1" x14ac:dyDescent="0.25">
      <c r="B202" s="125"/>
      <c r="C202" s="123"/>
      <c r="D202" s="123"/>
      <c r="E202" s="123"/>
      <c r="F202" s="123"/>
      <c r="G202" s="123"/>
      <c r="H202" s="123"/>
      <c r="I202" s="123"/>
      <c r="J202" s="123"/>
      <c r="K202" s="123"/>
      <c r="L202" s="123"/>
      <c r="M202" s="125"/>
      <c r="N202" s="125"/>
      <c r="O202" s="125"/>
      <c r="P202" s="125"/>
      <c r="Q202" s="125"/>
      <c r="R202" s="125"/>
      <c r="S202" s="125"/>
      <c r="T202" s="125"/>
      <c r="U202" s="125"/>
      <c r="V202" s="124"/>
      <c r="W202" s="124"/>
      <c r="X202" s="124"/>
      <c r="Y202" s="125"/>
      <c r="Z202" s="125"/>
      <c r="AA202" s="125"/>
      <c r="AB202" s="127"/>
      <c r="AC202" s="125"/>
      <c r="AD202" s="127"/>
      <c r="AE202" s="125"/>
      <c r="AF202" s="125"/>
    </row>
    <row r="203" spans="2:32" ht="15" customHeight="1" x14ac:dyDescent="0.25">
      <c r="B203" s="124"/>
      <c r="C203" s="123"/>
      <c r="D203" s="123"/>
      <c r="E203" s="123"/>
      <c r="F203" s="123"/>
      <c r="G203" s="123"/>
      <c r="H203" s="123"/>
      <c r="I203" s="123"/>
      <c r="J203" s="123"/>
      <c r="K203" s="123"/>
      <c r="L203" s="123"/>
      <c r="M203" s="124"/>
      <c r="N203" s="124"/>
      <c r="O203" s="124"/>
      <c r="P203" s="124"/>
      <c r="Q203" s="124"/>
      <c r="R203" s="124"/>
      <c r="S203" s="124"/>
      <c r="T203" s="124"/>
      <c r="U203" s="124"/>
      <c r="V203" s="124"/>
      <c r="W203" s="124"/>
      <c r="X203" s="124"/>
      <c r="Y203" s="124"/>
      <c r="Z203" s="124"/>
      <c r="AA203" s="124"/>
      <c r="AB203" s="126"/>
      <c r="AC203" s="122"/>
      <c r="AD203" s="126"/>
      <c r="AE203" s="124"/>
      <c r="AF203" s="124"/>
    </row>
    <row r="204" spans="2:32" ht="15" customHeight="1" x14ac:dyDescent="0.25">
      <c r="B204" s="122"/>
      <c r="C204" s="123"/>
      <c r="D204" s="123"/>
      <c r="E204" s="123"/>
      <c r="F204" s="123"/>
      <c r="G204" s="123"/>
      <c r="H204" s="123"/>
      <c r="I204" s="123"/>
      <c r="J204" s="123"/>
      <c r="K204" s="123"/>
      <c r="L204" s="123"/>
      <c r="M204" s="122"/>
      <c r="N204" s="122"/>
      <c r="O204" s="122"/>
      <c r="P204" s="122"/>
      <c r="Q204" s="122"/>
      <c r="R204" s="122"/>
      <c r="S204" s="122"/>
      <c r="T204" s="122"/>
      <c r="U204" s="122"/>
      <c r="V204" s="123"/>
      <c r="W204" s="123"/>
      <c r="X204" s="123"/>
      <c r="Y204" s="122"/>
      <c r="Z204" s="122"/>
      <c r="AA204" s="122"/>
      <c r="AB204" s="126"/>
      <c r="AC204" s="122"/>
      <c r="AD204" s="126"/>
      <c r="AE204" s="122"/>
      <c r="AF204" s="122"/>
    </row>
    <row r="205" spans="2:32" ht="15" customHeight="1" x14ac:dyDescent="0.25">
      <c r="B205" s="122"/>
      <c r="C205" s="123"/>
      <c r="D205" s="123"/>
      <c r="E205" s="123"/>
      <c r="F205" s="123"/>
      <c r="G205" s="123"/>
      <c r="H205" s="123"/>
      <c r="I205" s="123"/>
      <c r="J205" s="123"/>
      <c r="K205" s="123"/>
      <c r="L205" s="123"/>
      <c r="M205" s="122"/>
      <c r="N205" s="122"/>
      <c r="O205" s="122"/>
      <c r="P205" s="122"/>
      <c r="Q205" s="122"/>
      <c r="R205" s="122"/>
      <c r="S205" s="122"/>
      <c r="T205" s="122"/>
      <c r="U205" s="122"/>
      <c r="V205" s="123"/>
      <c r="W205" s="123"/>
      <c r="X205" s="123"/>
      <c r="Y205" s="122"/>
      <c r="Z205" s="122"/>
      <c r="AA205" s="122"/>
      <c r="AB205" s="126"/>
      <c r="AC205" s="122"/>
      <c r="AD205" s="126"/>
      <c r="AE205" s="122"/>
      <c r="AF205" s="122"/>
    </row>
    <row r="206" spans="2:32" ht="15" customHeight="1" x14ac:dyDescent="0.25">
      <c r="B206" s="125"/>
      <c r="C206" s="124"/>
      <c r="D206" s="124"/>
      <c r="E206" s="124"/>
      <c r="F206" s="124"/>
      <c r="G206" s="124"/>
      <c r="H206" s="124"/>
      <c r="I206" s="124"/>
      <c r="J206" s="124"/>
      <c r="K206" s="124"/>
      <c r="L206" s="124"/>
      <c r="M206" s="128"/>
      <c r="N206" s="125"/>
      <c r="O206" s="125"/>
      <c r="P206" s="125"/>
      <c r="Q206" s="125"/>
      <c r="R206" s="125"/>
      <c r="S206" s="125"/>
      <c r="T206" s="125"/>
      <c r="U206" s="125"/>
      <c r="V206" s="124"/>
      <c r="W206" s="124"/>
      <c r="X206" s="124"/>
      <c r="Y206" s="125"/>
      <c r="Z206" s="125"/>
      <c r="AA206" s="136"/>
      <c r="AB206" s="127"/>
      <c r="AC206" s="125"/>
      <c r="AD206" s="127"/>
      <c r="AE206" s="125"/>
      <c r="AF206" s="125"/>
    </row>
    <row r="207" spans="2:32" ht="15" customHeight="1" x14ac:dyDescent="0.25">
      <c r="B207" s="125"/>
      <c r="C207" s="124"/>
      <c r="D207" s="124"/>
      <c r="E207" s="124"/>
      <c r="F207" s="124"/>
      <c r="G207" s="124"/>
      <c r="H207" s="124"/>
      <c r="I207" s="124"/>
      <c r="J207" s="124"/>
      <c r="K207" s="124"/>
      <c r="L207" s="124"/>
      <c r="M207" s="125"/>
      <c r="N207" s="125"/>
      <c r="O207" s="125"/>
      <c r="P207" s="125"/>
      <c r="Q207" s="125"/>
      <c r="R207" s="125"/>
      <c r="S207" s="125"/>
      <c r="T207" s="125"/>
      <c r="U207" s="125"/>
      <c r="V207" s="124"/>
      <c r="W207" s="124"/>
      <c r="X207" s="124"/>
      <c r="Y207" s="125"/>
      <c r="Z207" s="125"/>
      <c r="AA207" s="125"/>
      <c r="AB207" s="127"/>
      <c r="AC207" s="125"/>
      <c r="AD207" s="127"/>
      <c r="AE207" s="124"/>
      <c r="AF207" s="124"/>
    </row>
    <row r="208" spans="2:32" ht="15" customHeight="1" x14ac:dyDescent="0.25">
      <c r="B208" s="125"/>
      <c r="C208" s="124"/>
      <c r="D208" s="124"/>
      <c r="E208" s="124"/>
      <c r="F208" s="124"/>
      <c r="G208" s="124"/>
      <c r="H208" s="124"/>
      <c r="I208" s="124"/>
      <c r="J208" s="124"/>
      <c r="K208" s="124"/>
      <c r="L208" s="124"/>
      <c r="M208" s="125"/>
      <c r="N208" s="125"/>
      <c r="O208" s="125"/>
      <c r="P208" s="125"/>
      <c r="Q208" s="125"/>
      <c r="R208" s="125"/>
      <c r="S208" s="125"/>
      <c r="T208" s="125"/>
      <c r="U208" s="125"/>
      <c r="V208" s="124"/>
      <c r="W208" s="124"/>
      <c r="X208" s="124"/>
      <c r="Y208" s="136"/>
      <c r="Z208" s="136"/>
      <c r="AA208" s="136"/>
      <c r="AB208" s="127"/>
      <c r="AC208" s="125"/>
      <c r="AD208" s="127"/>
      <c r="AE208" s="125"/>
      <c r="AF208" s="125"/>
    </row>
    <row r="209" spans="2:32" ht="15" customHeight="1" x14ac:dyDescent="0.25">
      <c r="B209" s="122"/>
      <c r="C209" s="123"/>
      <c r="D209" s="123"/>
      <c r="E209" s="123"/>
      <c r="F209" s="123"/>
      <c r="G209" s="123"/>
      <c r="H209" s="123"/>
      <c r="I209" s="123"/>
      <c r="J209" s="123"/>
      <c r="K209" s="123"/>
      <c r="L209" s="124"/>
      <c r="M209" s="122"/>
      <c r="N209" s="122"/>
      <c r="O209" s="122"/>
      <c r="P209" s="122"/>
      <c r="Q209" s="122"/>
      <c r="R209" s="122"/>
      <c r="S209" s="122"/>
      <c r="T209" s="122"/>
      <c r="U209" s="122"/>
      <c r="V209" s="124"/>
      <c r="W209" s="123"/>
      <c r="X209" s="123"/>
      <c r="Y209" s="122"/>
      <c r="Z209" s="122"/>
      <c r="AA209" s="122"/>
      <c r="AB209" s="126"/>
      <c r="AC209" s="122"/>
      <c r="AD209" s="126"/>
      <c r="AE209" s="124"/>
      <c r="AF209" s="124"/>
    </row>
    <row r="210" spans="2:32" ht="15" customHeight="1" x14ac:dyDescent="0.25">
      <c r="B210" s="122"/>
      <c r="C210" s="124"/>
      <c r="D210" s="123"/>
      <c r="E210" s="123"/>
      <c r="F210" s="123"/>
      <c r="G210" s="123"/>
      <c r="H210" s="123"/>
      <c r="I210" s="123"/>
      <c r="J210" s="123"/>
      <c r="K210" s="123"/>
      <c r="L210" s="129"/>
      <c r="M210" s="122"/>
      <c r="N210" s="122"/>
      <c r="O210" s="122"/>
      <c r="P210" s="122"/>
      <c r="Q210" s="122"/>
      <c r="R210" s="122"/>
      <c r="S210" s="122"/>
      <c r="T210" s="122"/>
      <c r="U210" s="122"/>
      <c r="V210" s="124"/>
      <c r="W210" s="123"/>
      <c r="X210" s="123"/>
      <c r="Y210" s="135"/>
      <c r="Z210" s="135"/>
      <c r="AA210" s="135"/>
      <c r="AB210" s="126"/>
      <c r="AC210" s="122"/>
      <c r="AD210" s="126"/>
      <c r="AE210" s="124"/>
      <c r="AF210" s="124"/>
    </row>
    <row r="211" spans="2:32" ht="15" customHeight="1" x14ac:dyDescent="0.25">
      <c r="B211" s="125"/>
      <c r="C211" s="124"/>
      <c r="D211" s="124"/>
      <c r="E211" s="124"/>
      <c r="F211" s="124"/>
      <c r="G211" s="124"/>
      <c r="H211" s="124"/>
      <c r="I211" s="124"/>
      <c r="J211" s="124"/>
      <c r="K211" s="124"/>
      <c r="L211" s="124"/>
      <c r="M211" s="125"/>
      <c r="N211" s="125"/>
      <c r="O211" s="125"/>
      <c r="P211" s="125"/>
      <c r="Q211" s="125"/>
      <c r="R211" s="125"/>
      <c r="S211" s="125"/>
      <c r="T211" s="125"/>
      <c r="U211" s="125"/>
      <c r="V211" s="124"/>
      <c r="W211" s="124"/>
      <c r="X211" s="124"/>
      <c r="Y211" s="125"/>
      <c r="Z211" s="125"/>
      <c r="AA211" s="136"/>
      <c r="AB211" s="127"/>
      <c r="AC211" s="125"/>
      <c r="AD211" s="127"/>
      <c r="AE211" s="124"/>
      <c r="AF211" s="124"/>
    </row>
    <row r="212" spans="2:32" ht="15" customHeight="1" x14ac:dyDescent="0.25">
      <c r="B212" s="128"/>
      <c r="C212" s="124"/>
      <c r="D212" s="129"/>
      <c r="E212" s="129"/>
      <c r="F212" s="129"/>
      <c r="G212" s="129"/>
      <c r="H212" s="129"/>
      <c r="I212" s="129"/>
      <c r="J212" s="129"/>
      <c r="K212" s="129"/>
      <c r="L212" s="124"/>
      <c r="M212" s="128"/>
      <c r="N212" s="128"/>
      <c r="O212" s="128"/>
      <c r="P212" s="128"/>
      <c r="Q212" s="128"/>
      <c r="R212" s="128"/>
      <c r="S212" s="128"/>
      <c r="T212" s="128"/>
      <c r="U212" s="128"/>
      <c r="V212" s="123"/>
      <c r="W212" s="129"/>
      <c r="X212" s="129"/>
      <c r="Y212" s="137"/>
      <c r="Z212" s="137"/>
      <c r="AA212" s="137"/>
      <c r="AB212" s="126"/>
      <c r="AC212" s="122"/>
      <c r="AD212" s="126"/>
      <c r="AE212" s="122"/>
      <c r="AF212" s="122"/>
    </row>
    <row r="213" spans="2:32" ht="15" customHeight="1" x14ac:dyDescent="0.25">
      <c r="B213" s="122"/>
      <c r="C213" s="124"/>
      <c r="D213" s="123"/>
      <c r="E213" s="123"/>
      <c r="F213" s="123"/>
      <c r="G213" s="123"/>
      <c r="H213" s="123"/>
      <c r="I213" s="123"/>
      <c r="J213" s="123"/>
      <c r="K213" s="123"/>
      <c r="L213" s="124"/>
      <c r="M213" s="128"/>
      <c r="N213" s="122"/>
      <c r="O213" s="122"/>
      <c r="P213" s="122"/>
      <c r="Q213" s="122"/>
      <c r="R213" s="122"/>
      <c r="S213" s="122"/>
      <c r="T213" s="122"/>
      <c r="U213" s="122"/>
      <c r="V213" s="124"/>
      <c r="W213" s="123"/>
      <c r="X213" s="123"/>
      <c r="Y213" s="135"/>
      <c r="Z213" s="135"/>
      <c r="AA213" s="135"/>
      <c r="AB213" s="126"/>
      <c r="AC213" s="122"/>
      <c r="AD213" s="126"/>
      <c r="AE213" s="124"/>
      <c r="AF213" s="124"/>
    </row>
    <row r="214" spans="2:32" ht="15" customHeight="1" x14ac:dyDescent="0.25">
      <c r="B214" s="122"/>
      <c r="C214" s="124"/>
      <c r="D214" s="123"/>
      <c r="E214" s="123"/>
      <c r="F214" s="123"/>
      <c r="G214" s="123"/>
      <c r="H214" s="123"/>
      <c r="I214" s="123"/>
      <c r="J214" s="123"/>
      <c r="K214" s="123"/>
      <c r="L214" s="124"/>
      <c r="M214" s="125"/>
      <c r="N214" s="122"/>
      <c r="O214" s="122"/>
      <c r="P214" s="122"/>
      <c r="Q214" s="122"/>
      <c r="R214" s="122"/>
      <c r="S214" s="122"/>
      <c r="T214" s="122"/>
      <c r="U214" s="122"/>
      <c r="V214" s="123"/>
      <c r="W214" s="123"/>
      <c r="X214" s="123"/>
      <c r="Y214" s="135"/>
      <c r="Z214" s="135"/>
      <c r="AA214" s="135"/>
      <c r="AB214" s="126"/>
      <c r="AC214" s="122"/>
      <c r="AD214" s="126"/>
      <c r="AE214" s="122"/>
      <c r="AF214" s="122"/>
    </row>
    <row r="215" spans="2:32" ht="15" customHeight="1" x14ac:dyDescent="0.25">
      <c r="B215" s="125"/>
      <c r="C215" s="124"/>
      <c r="D215" s="124"/>
      <c r="E215" s="124"/>
      <c r="F215" s="124"/>
      <c r="G215" s="124"/>
      <c r="H215" s="124"/>
      <c r="I215" s="124"/>
      <c r="J215" s="124"/>
      <c r="K215" s="124"/>
      <c r="L215" s="124"/>
      <c r="M215" s="125"/>
      <c r="N215" s="122"/>
      <c r="O215" s="125"/>
      <c r="P215" s="125"/>
      <c r="Q215" s="125"/>
      <c r="R215" s="125"/>
      <c r="S215" s="125"/>
      <c r="T215" s="125"/>
      <c r="U215" s="125"/>
      <c r="V215" s="124"/>
      <c r="W215" s="124"/>
      <c r="X215" s="124"/>
      <c r="Y215" s="136"/>
      <c r="Z215" s="136"/>
      <c r="AA215" s="136"/>
      <c r="AB215" s="127"/>
      <c r="AC215" s="125"/>
      <c r="AD215" s="127"/>
      <c r="AE215" s="125"/>
      <c r="AF215" s="125"/>
    </row>
    <row r="216" spans="2:32" ht="15" customHeight="1" x14ac:dyDescent="0.25">
      <c r="B216" s="125"/>
      <c r="C216" s="124"/>
      <c r="D216" s="124"/>
      <c r="E216" s="124"/>
      <c r="F216" s="124"/>
      <c r="G216" s="124"/>
      <c r="H216" s="124"/>
      <c r="I216" s="124"/>
      <c r="J216" s="124"/>
      <c r="K216" s="124"/>
      <c r="L216" s="124"/>
      <c r="M216" s="125"/>
      <c r="N216" s="125"/>
      <c r="O216" s="125"/>
      <c r="P216" s="125"/>
      <c r="Q216" s="125"/>
      <c r="R216" s="125"/>
      <c r="S216" s="125"/>
      <c r="T216" s="125"/>
      <c r="U216" s="125"/>
      <c r="V216" s="124"/>
      <c r="W216" s="124"/>
      <c r="X216" s="124"/>
      <c r="Y216" s="136"/>
      <c r="Z216" s="136"/>
      <c r="AA216" s="136"/>
      <c r="AB216" s="127"/>
      <c r="AC216" s="125"/>
      <c r="AD216" s="127"/>
      <c r="AE216" s="124"/>
      <c r="AF216" s="124"/>
    </row>
    <row r="217" spans="2:32" ht="15" customHeight="1" x14ac:dyDescent="0.25">
      <c r="B217" s="125"/>
      <c r="C217" s="124"/>
      <c r="D217" s="124"/>
      <c r="E217" s="124"/>
      <c r="F217" s="124"/>
      <c r="G217" s="124"/>
      <c r="H217" s="124"/>
      <c r="I217" s="124"/>
      <c r="J217" s="124"/>
      <c r="K217" s="124"/>
      <c r="L217" s="124"/>
      <c r="M217" s="125"/>
      <c r="N217" s="125"/>
      <c r="O217" s="125"/>
      <c r="P217" s="125"/>
      <c r="Q217" s="125"/>
      <c r="R217" s="125"/>
      <c r="S217" s="125"/>
      <c r="T217" s="125"/>
      <c r="U217" s="125"/>
      <c r="V217" s="124"/>
      <c r="W217" s="124"/>
      <c r="X217" s="124"/>
      <c r="Y217" s="136"/>
      <c r="Z217" s="136"/>
      <c r="AA217" s="136"/>
      <c r="AB217" s="127"/>
      <c r="AC217" s="125"/>
      <c r="AD217" s="127"/>
      <c r="AE217" s="124"/>
      <c r="AF217" s="125"/>
    </row>
    <row r="218" spans="2:32" ht="15" customHeight="1" x14ac:dyDescent="0.25">
      <c r="B218" s="125"/>
      <c r="C218" s="124"/>
      <c r="D218" s="124"/>
      <c r="E218" s="124"/>
      <c r="F218" s="124"/>
      <c r="G218" s="124"/>
      <c r="H218" s="124"/>
      <c r="I218" s="124"/>
      <c r="J218" s="124"/>
      <c r="K218" s="124"/>
      <c r="L218" s="124"/>
      <c r="M218" s="125"/>
      <c r="N218" s="125"/>
      <c r="O218" s="125"/>
      <c r="P218" s="125"/>
      <c r="Q218" s="125"/>
      <c r="R218" s="125"/>
      <c r="S218" s="125"/>
      <c r="T218" s="125"/>
      <c r="U218" s="125"/>
      <c r="V218" s="124"/>
      <c r="W218" s="124"/>
      <c r="X218" s="124"/>
      <c r="Y218" s="136"/>
      <c r="Z218" s="136"/>
      <c r="AA218" s="136"/>
      <c r="AB218" s="127"/>
      <c r="AC218" s="125"/>
      <c r="AD218" s="127"/>
      <c r="AE218" s="124"/>
      <c r="AF218" s="125"/>
    </row>
    <row r="219" spans="2:32" ht="15" customHeight="1" x14ac:dyDescent="0.25">
      <c r="B219" s="125"/>
      <c r="C219" s="124"/>
      <c r="D219" s="124"/>
      <c r="E219" s="124"/>
      <c r="F219" s="124"/>
      <c r="G219" s="124"/>
      <c r="H219" s="124"/>
      <c r="I219" s="124"/>
      <c r="J219" s="124"/>
      <c r="K219" s="124"/>
      <c r="L219" s="124"/>
      <c r="M219" s="125"/>
      <c r="N219" s="125"/>
      <c r="O219" s="125"/>
      <c r="P219" s="125"/>
      <c r="Q219" s="125"/>
      <c r="R219" s="125"/>
      <c r="S219" s="125"/>
      <c r="T219" s="125"/>
      <c r="U219" s="125"/>
      <c r="V219" s="124"/>
      <c r="W219" s="124"/>
      <c r="X219" s="124"/>
      <c r="Y219" s="136"/>
      <c r="Z219" s="136"/>
      <c r="AA219" s="136"/>
      <c r="AB219" s="127"/>
      <c r="AC219" s="125"/>
      <c r="AD219" s="127"/>
      <c r="AE219" s="124"/>
      <c r="AF219" s="125"/>
    </row>
    <row r="220" spans="2:32" ht="15" customHeight="1" x14ac:dyDescent="0.25">
      <c r="B220" s="128"/>
      <c r="C220" s="124"/>
      <c r="D220" s="123"/>
      <c r="E220" s="123"/>
      <c r="F220" s="123"/>
      <c r="G220" s="123"/>
      <c r="H220" s="123"/>
      <c r="I220" s="123"/>
      <c r="J220" s="123"/>
      <c r="K220" s="123"/>
      <c r="L220" s="124"/>
      <c r="M220" s="128"/>
      <c r="N220" s="128"/>
      <c r="O220" s="128"/>
      <c r="P220" s="128"/>
      <c r="Q220" s="128"/>
      <c r="R220" s="128"/>
      <c r="S220" s="128"/>
      <c r="T220" s="128"/>
      <c r="U220" s="128"/>
      <c r="V220" s="124"/>
      <c r="W220" s="129"/>
      <c r="X220" s="129"/>
      <c r="Y220" s="137"/>
      <c r="Z220" s="137"/>
      <c r="AA220" s="137"/>
      <c r="AB220" s="126"/>
      <c r="AC220" s="122"/>
      <c r="AD220" s="126"/>
      <c r="AE220" s="122"/>
      <c r="AF220" s="122"/>
    </row>
    <row r="221" spans="2:32" ht="15" customHeight="1" x14ac:dyDescent="0.25">
      <c r="B221" s="125"/>
      <c r="C221" s="124"/>
      <c r="D221" s="123"/>
      <c r="E221" s="123"/>
      <c r="F221" s="123"/>
      <c r="G221" s="123"/>
      <c r="H221" s="123"/>
      <c r="I221" s="123"/>
      <c r="J221" s="123"/>
      <c r="K221" s="123"/>
      <c r="L221" s="124"/>
      <c r="M221" s="125"/>
      <c r="N221" s="125"/>
      <c r="O221" s="125"/>
      <c r="P221" s="125"/>
      <c r="Q221" s="125"/>
      <c r="R221" s="125"/>
      <c r="S221" s="125"/>
      <c r="T221" s="125"/>
      <c r="U221" s="125"/>
      <c r="V221" s="124"/>
      <c r="W221" s="124"/>
      <c r="X221" s="124"/>
      <c r="Y221" s="136"/>
      <c r="Z221" s="136"/>
      <c r="AA221" s="136"/>
      <c r="AB221" s="127"/>
      <c r="AC221" s="125"/>
      <c r="AD221" s="127"/>
      <c r="AE221" s="124"/>
      <c r="AF221" s="124"/>
    </row>
    <row r="222" spans="2:32" ht="15" customHeight="1" x14ac:dyDescent="0.25">
      <c r="B222" s="125"/>
      <c r="C222" s="124"/>
      <c r="D222" s="124"/>
      <c r="E222" s="124"/>
      <c r="F222" s="124"/>
      <c r="G222" s="124"/>
      <c r="H222" s="124"/>
      <c r="I222" s="124"/>
      <c r="J222" s="124"/>
      <c r="K222" s="124"/>
      <c r="L222" s="124"/>
      <c r="M222" s="125"/>
      <c r="N222" s="125"/>
      <c r="O222" s="125"/>
      <c r="P222" s="125"/>
      <c r="Q222" s="125"/>
      <c r="R222" s="125"/>
      <c r="S222" s="125"/>
      <c r="T222" s="125"/>
      <c r="U222" s="125"/>
      <c r="V222" s="124"/>
      <c r="W222" s="124"/>
      <c r="X222" s="124"/>
      <c r="Y222" s="136"/>
      <c r="Z222" s="136"/>
      <c r="AA222" s="136"/>
      <c r="AB222" s="127"/>
      <c r="AC222" s="125"/>
      <c r="AD222" s="127"/>
      <c r="AE222" s="124"/>
      <c r="AF222" s="124"/>
    </row>
    <row r="223" spans="2:32" ht="15" customHeight="1" x14ac:dyDescent="0.25">
      <c r="B223" s="125"/>
      <c r="C223" s="124"/>
      <c r="D223" s="124"/>
      <c r="E223" s="124"/>
      <c r="F223" s="124"/>
      <c r="G223" s="124"/>
      <c r="H223" s="124"/>
      <c r="I223" s="124"/>
      <c r="J223" s="124"/>
      <c r="K223" s="124"/>
      <c r="L223" s="124"/>
      <c r="M223" s="125"/>
      <c r="N223" s="125"/>
      <c r="O223" s="125"/>
      <c r="P223" s="125"/>
      <c r="Q223" s="125"/>
      <c r="R223" s="125"/>
      <c r="S223" s="125"/>
      <c r="T223" s="125"/>
      <c r="U223" s="125"/>
      <c r="V223" s="124"/>
      <c r="W223" s="124"/>
      <c r="X223" s="124"/>
      <c r="Y223" s="125"/>
      <c r="Z223" s="125"/>
      <c r="AA223" s="136"/>
      <c r="AB223" s="127"/>
      <c r="AC223" s="125"/>
      <c r="AD223" s="127"/>
      <c r="AE223" s="124"/>
      <c r="AF223" s="124"/>
    </row>
    <row r="224" spans="2:32" ht="15" customHeight="1" x14ac:dyDescent="0.25">
      <c r="B224" s="128"/>
      <c r="C224" s="124"/>
      <c r="D224" s="123"/>
      <c r="E224" s="123"/>
      <c r="F224" s="123"/>
      <c r="G224" s="123"/>
      <c r="H224" s="123"/>
      <c r="I224" s="123"/>
      <c r="J224" s="123"/>
      <c r="K224" s="123"/>
      <c r="L224" s="123"/>
      <c r="M224" s="122"/>
      <c r="N224" s="125"/>
      <c r="O224" s="128"/>
      <c r="P224" s="128"/>
      <c r="Q224" s="128"/>
      <c r="R224" s="128"/>
      <c r="S224" s="128"/>
      <c r="T224" s="128"/>
      <c r="U224" s="128"/>
      <c r="V224" s="123"/>
      <c r="W224" s="123"/>
      <c r="X224" s="123"/>
      <c r="Y224" s="135"/>
      <c r="Z224" s="135"/>
      <c r="AA224" s="135"/>
      <c r="AB224" s="126"/>
      <c r="AC224" s="122"/>
      <c r="AD224" s="126"/>
      <c r="AE224" s="122"/>
      <c r="AF224" s="122"/>
    </row>
    <row r="225" spans="2:32" ht="15" customHeight="1" x14ac:dyDescent="0.25">
      <c r="B225" s="125"/>
      <c r="C225" s="124"/>
      <c r="D225" s="124"/>
      <c r="E225" s="124"/>
      <c r="F225" s="124"/>
      <c r="G225" s="124"/>
      <c r="H225" s="124"/>
      <c r="I225" s="124"/>
      <c r="J225" s="124"/>
      <c r="K225" s="124"/>
      <c r="L225" s="125"/>
      <c r="M225" s="125"/>
      <c r="N225" s="125"/>
      <c r="O225" s="125"/>
      <c r="P225" s="125"/>
      <c r="Q225" s="125"/>
      <c r="R225" s="125"/>
      <c r="S225" s="125"/>
      <c r="T225" s="125"/>
      <c r="U225" s="125"/>
      <c r="V225" s="124"/>
      <c r="W225" s="124"/>
      <c r="X225" s="124"/>
      <c r="Y225" s="136"/>
      <c r="Z225" s="136"/>
      <c r="AA225" s="136"/>
      <c r="AB225" s="127"/>
      <c r="AC225" s="125"/>
      <c r="AD225" s="127"/>
      <c r="AE225" s="124"/>
      <c r="AF225" s="124"/>
    </row>
    <row r="226" spans="2:32" ht="15" customHeight="1" x14ac:dyDescent="0.25">
      <c r="B226" s="125"/>
      <c r="C226" s="124"/>
      <c r="D226" s="124"/>
      <c r="E226" s="124"/>
      <c r="F226" s="124"/>
      <c r="G226" s="124"/>
      <c r="H226" s="124"/>
      <c r="I226" s="124"/>
      <c r="J226" s="124"/>
      <c r="K226" s="124"/>
      <c r="L226" s="125"/>
      <c r="M226" s="125"/>
      <c r="N226" s="125"/>
      <c r="O226" s="125"/>
      <c r="P226" s="125"/>
      <c r="Q226" s="125"/>
      <c r="R226" s="125"/>
      <c r="S226" s="125"/>
      <c r="T226" s="125"/>
      <c r="U226" s="125"/>
      <c r="V226" s="124"/>
      <c r="W226" s="124"/>
      <c r="X226" s="124"/>
      <c r="Y226" s="136"/>
      <c r="Z226" s="136"/>
      <c r="AA226" s="136"/>
      <c r="AB226" s="127"/>
      <c r="AC226" s="125"/>
      <c r="AD226" s="127"/>
      <c r="AE226" s="124"/>
      <c r="AF226" s="124"/>
    </row>
    <row r="227" spans="2:32" ht="15" customHeight="1" x14ac:dyDescent="0.25">
      <c r="B227" s="122"/>
      <c r="C227" s="124"/>
      <c r="D227" s="123"/>
      <c r="E227" s="123"/>
      <c r="F227" s="123"/>
      <c r="G227" s="123"/>
      <c r="H227" s="123"/>
      <c r="I227" s="123"/>
      <c r="J227" s="123"/>
      <c r="K227" s="123"/>
      <c r="L227" s="125"/>
      <c r="M227" s="122"/>
      <c r="N227" s="125"/>
      <c r="O227" s="122"/>
      <c r="P227" s="122"/>
      <c r="Q227" s="122"/>
      <c r="R227" s="122"/>
      <c r="S227" s="122"/>
      <c r="T227" s="122"/>
      <c r="U227" s="122"/>
      <c r="V227" s="123"/>
      <c r="W227" s="123"/>
      <c r="X227" s="123"/>
      <c r="Y227" s="135"/>
      <c r="Z227" s="135"/>
      <c r="AA227" s="135"/>
      <c r="AB227" s="126"/>
      <c r="AC227" s="122"/>
      <c r="AD227" s="126"/>
      <c r="AE227" s="122"/>
      <c r="AF227" s="122"/>
    </row>
    <row r="228" spans="2:32" ht="15" customHeight="1" x14ac:dyDescent="0.25">
      <c r="B228" s="122"/>
      <c r="C228" s="123"/>
      <c r="D228" s="123"/>
      <c r="E228" s="123"/>
      <c r="F228" s="123"/>
      <c r="G228" s="123"/>
      <c r="H228" s="123"/>
      <c r="I228" s="123"/>
      <c r="J228" s="123"/>
      <c r="K228" s="123"/>
      <c r="L228" s="123"/>
      <c r="M228" s="122"/>
      <c r="N228" s="122"/>
      <c r="O228" s="122"/>
      <c r="P228" s="122"/>
      <c r="Q228" s="122"/>
      <c r="R228" s="122"/>
      <c r="S228" s="122"/>
      <c r="T228" s="122"/>
      <c r="U228" s="122"/>
      <c r="V228" s="124"/>
      <c r="W228" s="123"/>
      <c r="X228" s="123"/>
      <c r="Y228" s="122"/>
      <c r="Z228" s="122"/>
      <c r="AA228" s="122"/>
      <c r="AB228" s="126"/>
      <c r="AC228" s="122"/>
      <c r="AD228" s="126"/>
      <c r="AE228" s="124"/>
      <c r="AF228" s="124"/>
    </row>
    <row r="229" spans="2:32" ht="15" customHeight="1" x14ac:dyDescent="0.25">
      <c r="B229" s="125"/>
      <c r="C229" s="124"/>
      <c r="D229" s="124"/>
      <c r="E229" s="124"/>
      <c r="F229" s="124"/>
      <c r="G229" s="124"/>
      <c r="H229" s="124"/>
      <c r="I229" s="124"/>
      <c r="J229" s="124"/>
      <c r="K229" s="124"/>
      <c r="L229" s="124"/>
      <c r="M229" s="125"/>
      <c r="N229" s="125"/>
      <c r="O229" s="125"/>
      <c r="P229" s="125"/>
      <c r="Q229" s="125"/>
      <c r="R229" s="125"/>
      <c r="S229" s="125"/>
      <c r="T229" s="125"/>
      <c r="U229" s="125"/>
      <c r="V229" s="124"/>
      <c r="W229" s="124"/>
      <c r="X229" s="124"/>
      <c r="Y229" s="125"/>
      <c r="Z229" s="125"/>
      <c r="AA229" s="125"/>
      <c r="AB229" s="127"/>
      <c r="AC229" s="125"/>
      <c r="AD229" s="127"/>
      <c r="AE229" s="124"/>
      <c r="AF229" s="124"/>
    </row>
    <row r="230" spans="2:32" ht="15" customHeight="1" x14ac:dyDescent="0.25">
      <c r="B230" s="125"/>
      <c r="C230" s="124"/>
      <c r="D230" s="124"/>
      <c r="E230" s="124"/>
      <c r="F230" s="124"/>
      <c r="G230" s="124"/>
      <c r="H230" s="124"/>
      <c r="I230" s="124"/>
      <c r="J230" s="124"/>
      <c r="K230" s="124"/>
      <c r="L230" s="124"/>
      <c r="M230" s="125"/>
      <c r="N230" s="125"/>
      <c r="O230" s="125"/>
      <c r="P230" s="125"/>
      <c r="Q230" s="125"/>
      <c r="R230" s="125"/>
      <c r="S230" s="125"/>
      <c r="T230" s="125"/>
      <c r="U230" s="125"/>
      <c r="V230" s="124"/>
      <c r="W230" s="124"/>
      <c r="X230" s="124"/>
      <c r="Y230" s="125"/>
      <c r="Z230" s="125"/>
      <c r="AA230" s="125"/>
      <c r="AB230" s="127"/>
      <c r="AC230" s="125"/>
      <c r="AD230" s="127"/>
      <c r="AE230" s="124"/>
      <c r="AF230" s="124"/>
    </row>
    <row r="231" spans="2:32" ht="15" customHeight="1" x14ac:dyDescent="0.25">
      <c r="B231" s="122"/>
      <c r="C231" s="123"/>
      <c r="D231" s="123"/>
      <c r="E231" s="123"/>
      <c r="F231" s="123"/>
      <c r="G231" s="123"/>
      <c r="H231" s="123"/>
      <c r="I231" s="123"/>
      <c r="J231" s="123"/>
      <c r="K231" s="123"/>
      <c r="L231" s="123"/>
      <c r="M231" s="122"/>
      <c r="N231" s="122"/>
      <c r="O231" s="122"/>
      <c r="P231" s="122"/>
      <c r="Q231" s="122"/>
      <c r="R231" s="122"/>
      <c r="S231" s="122"/>
      <c r="T231" s="122"/>
      <c r="U231" s="122"/>
      <c r="V231" s="123"/>
      <c r="W231" s="123"/>
      <c r="X231" s="123"/>
      <c r="Y231" s="122"/>
      <c r="Z231" s="122"/>
      <c r="AA231" s="122"/>
      <c r="AB231" s="126"/>
      <c r="AC231" s="122"/>
      <c r="AD231" s="126"/>
      <c r="AE231" s="122"/>
      <c r="AF231" s="122"/>
    </row>
    <row r="232" spans="2:32" ht="15" customHeight="1" x14ac:dyDescent="0.25">
      <c r="B232" s="125"/>
      <c r="C232" s="124"/>
      <c r="D232" s="124"/>
      <c r="E232" s="124"/>
      <c r="F232" s="124"/>
      <c r="G232" s="124"/>
      <c r="H232" s="124"/>
      <c r="I232" s="124"/>
      <c r="J232" s="124"/>
      <c r="K232" s="124"/>
      <c r="L232" s="124"/>
      <c r="M232" s="125"/>
      <c r="N232" s="125"/>
      <c r="O232" s="125"/>
      <c r="P232" s="125"/>
      <c r="Q232" s="125"/>
      <c r="R232" s="125"/>
      <c r="S232" s="125"/>
      <c r="T232" s="125"/>
      <c r="U232" s="125"/>
      <c r="V232" s="124"/>
      <c r="W232" s="124"/>
      <c r="X232" s="124"/>
      <c r="Y232" s="125"/>
      <c r="Z232" s="125"/>
      <c r="AA232" s="125"/>
      <c r="AB232" s="127"/>
      <c r="AC232" s="125"/>
      <c r="AD232" s="127"/>
      <c r="AE232" s="124"/>
      <c r="AF232" s="124"/>
    </row>
    <row r="233" spans="2:32" ht="15" customHeight="1" x14ac:dyDescent="0.25">
      <c r="B233" s="128"/>
      <c r="C233" s="124"/>
      <c r="D233" s="129"/>
      <c r="E233" s="129"/>
      <c r="F233" s="129"/>
      <c r="G233" s="129"/>
      <c r="H233" s="129"/>
      <c r="I233" s="129"/>
      <c r="J233" s="129"/>
      <c r="K233" s="129"/>
      <c r="L233" s="129"/>
      <c r="M233" s="125"/>
      <c r="N233" s="128"/>
      <c r="O233" s="128"/>
      <c r="P233" s="128"/>
      <c r="Q233" s="128"/>
      <c r="R233" s="128"/>
      <c r="S233" s="128"/>
      <c r="T233" s="128"/>
      <c r="U233" s="128"/>
      <c r="V233" s="123"/>
      <c r="W233" s="129"/>
      <c r="X233" s="129"/>
      <c r="Y233" s="137"/>
      <c r="Z233" s="137"/>
      <c r="AA233" s="137"/>
      <c r="AB233" s="126"/>
      <c r="AC233" s="122"/>
      <c r="AD233" s="126"/>
      <c r="AE233" s="122"/>
      <c r="AF233" s="122"/>
    </row>
    <row r="234" spans="2:32" ht="15" customHeight="1" x14ac:dyDescent="0.25">
      <c r="B234" s="128"/>
      <c r="C234" s="124"/>
      <c r="D234" s="129"/>
      <c r="E234" s="129"/>
      <c r="F234" s="129"/>
      <c r="G234" s="129"/>
      <c r="H234" s="129"/>
      <c r="I234" s="129"/>
      <c r="J234" s="129"/>
      <c r="K234" s="129"/>
      <c r="L234" s="124"/>
      <c r="M234" s="128"/>
      <c r="N234" s="128"/>
      <c r="O234" s="128"/>
      <c r="P234" s="128"/>
      <c r="Q234" s="128"/>
      <c r="R234" s="128"/>
      <c r="S234" s="128"/>
      <c r="T234" s="128"/>
      <c r="U234" s="128"/>
      <c r="V234" s="124"/>
      <c r="W234" s="129"/>
      <c r="X234" s="129"/>
      <c r="Y234" s="137"/>
      <c r="Z234" s="137"/>
      <c r="AA234" s="137"/>
      <c r="AB234" s="126"/>
      <c r="AC234" s="122"/>
      <c r="AD234" s="126"/>
      <c r="AE234" s="122"/>
      <c r="AF234" s="122"/>
    </row>
    <row r="235" spans="2:32" ht="15" customHeight="1" x14ac:dyDescent="0.25">
      <c r="B235" s="128"/>
      <c r="C235" s="124"/>
      <c r="D235" s="129"/>
      <c r="E235" s="129"/>
      <c r="F235" s="129"/>
      <c r="G235" s="129"/>
      <c r="H235" s="129"/>
      <c r="I235" s="129"/>
      <c r="J235" s="129"/>
      <c r="K235" s="129"/>
      <c r="L235" s="124"/>
      <c r="M235" s="128"/>
      <c r="N235" s="128"/>
      <c r="O235" s="128"/>
      <c r="P235" s="128"/>
      <c r="Q235" s="128"/>
      <c r="R235" s="128"/>
      <c r="S235" s="128"/>
      <c r="T235" s="128"/>
      <c r="U235" s="128"/>
      <c r="V235" s="123"/>
      <c r="W235" s="129"/>
      <c r="X235" s="129"/>
      <c r="Y235" s="137"/>
      <c r="Z235" s="137"/>
      <c r="AA235" s="137"/>
      <c r="AB235" s="126"/>
      <c r="AC235" s="122"/>
      <c r="AD235" s="126"/>
      <c r="AE235" s="122"/>
      <c r="AF235" s="122"/>
    </row>
    <row r="236" spans="2:32" ht="15" customHeight="1" x14ac:dyDescent="0.25">
      <c r="B236" s="122"/>
      <c r="C236" s="124"/>
      <c r="D236" s="123"/>
      <c r="E236" s="123"/>
      <c r="F236" s="123"/>
      <c r="G236" s="123"/>
      <c r="H236" s="123"/>
      <c r="I236" s="123"/>
      <c r="J236" s="123"/>
      <c r="K236" s="123"/>
      <c r="L236" s="124"/>
      <c r="M236" s="128"/>
      <c r="N236" s="122"/>
      <c r="O236" s="122"/>
      <c r="P236" s="122"/>
      <c r="Q236" s="122"/>
      <c r="R236" s="122"/>
      <c r="S236" s="122"/>
      <c r="T236" s="122"/>
      <c r="U236" s="122"/>
      <c r="V236" s="124"/>
      <c r="W236" s="123"/>
      <c r="X236" s="123"/>
      <c r="Y236" s="122"/>
      <c r="Z236" s="122"/>
      <c r="AA236" s="135"/>
      <c r="AB236" s="126"/>
      <c r="AC236" s="122"/>
      <c r="AD236" s="126"/>
      <c r="AE236" s="124"/>
      <c r="AF236" s="124"/>
    </row>
    <row r="237" spans="2:32" ht="15" customHeight="1" x14ac:dyDescent="0.25">
      <c r="B237" s="125"/>
      <c r="C237" s="124"/>
      <c r="D237" s="124"/>
      <c r="E237" s="124"/>
      <c r="F237" s="124"/>
      <c r="G237" s="124"/>
      <c r="H237" s="124"/>
      <c r="I237" s="124"/>
      <c r="J237" s="124"/>
      <c r="K237" s="124"/>
      <c r="L237" s="124"/>
      <c r="M237" s="125"/>
      <c r="N237" s="125"/>
      <c r="O237" s="125"/>
      <c r="P237" s="125"/>
      <c r="Q237" s="125"/>
      <c r="R237" s="125"/>
      <c r="S237" s="125"/>
      <c r="T237" s="125"/>
      <c r="U237" s="125"/>
      <c r="V237" s="124"/>
      <c r="W237" s="124"/>
      <c r="X237" s="124"/>
      <c r="Y237" s="136"/>
      <c r="Z237" s="136"/>
      <c r="AA237" s="136"/>
      <c r="AB237" s="127"/>
      <c r="AC237" s="125"/>
      <c r="AD237" s="127"/>
      <c r="AE237" s="124"/>
      <c r="AF237" s="124"/>
    </row>
    <row r="238" spans="2:32" ht="15" customHeight="1" x14ac:dyDescent="0.25">
      <c r="B238" s="125"/>
      <c r="C238" s="124"/>
      <c r="D238" s="124"/>
      <c r="E238" s="124"/>
      <c r="F238" s="124"/>
      <c r="G238" s="124"/>
      <c r="H238" s="124"/>
      <c r="I238" s="124"/>
      <c r="J238" s="124"/>
      <c r="K238" s="124"/>
      <c r="L238" s="124"/>
      <c r="M238" s="125"/>
      <c r="N238" s="125"/>
      <c r="O238" s="125"/>
      <c r="P238" s="125"/>
      <c r="Q238" s="125"/>
      <c r="R238" s="125"/>
      <c r="S238" s="125"/>
      <c r="T238" s="125"/>
      <c r="U238" s="125"/>
      <c r="V238" s="124"/>
      <c r="W238" s="124"/>
      <c r="X238" s="124"/>
      <c r="Y238" s="136"/>
      <c r="Z238" s="136"/>
      <c r="AA238" s="136"/>
      <c r="AB238" s="127"/>
      <c r="AC238" s="125"/>
      <c r="AD238" s="127"/>
      <c r="AE238" s="125"/>
      <c r="AF238" s="125"/>
    </row>
    <row r="239" spans="2:32" ht="15" customHeight="1" x14ac:dyDescent="0.25">
      <c r="B239" s="125"/>
      <c r="C239" s="124"/>
      <c r="D239" s="124"/>
      <c r="E239" s="124"/>
      <c r="F239" s="124"/>
      <c r="G239" s="124"/>
      <c r="H239" s="124"/>
      <c r="I239" s="124"/>
      <c r="J239" s="124"/>
      <c r="K239" s="124"/>
      <c r="L239" s="129"/>
      <c r="M239" s="125"/>
      <c r="N239" s="125"/>
      <c r="O239" s="125"/>
      <c r="P239" s="125"/>
      <c r="Q239" s="125"/>
      <c r="R239" s="125"/>
      <c r="S239" s="125"/>
      <c r="T239" s="125"/>
      <c r="U239" s="125"/>
      <c r="V239" s="124"/>
      <c r="W239" s="124"/>
      <c r="X239" s="124"/>
      <c r="Y239" s="136"/>
      <c r="Z239" s="136"/>
      <c r="AA239" s="136"/>
      <c r="AB239" s="127"/>
      <c r="AC239" s="125"/>
      <c r="AD239" s="127"/>
      <c r="AE239" s="124"/>
      <c r="AF239" s="124"/>
    </row>
    <row r="240" spans="2:32" ht="15" customHeight="1" x14ac:dyDescent="0.25">
      <c r="B240" s="125"/>
      <c r="C240" s="124"/>
      <c r="D240" s="124"/>
      <c r="E240" s="124"/>
      <c r="F240" s="124"/>
      <c r="G240" s="124"/>
      <c r="H240" s="124"/>
      <c r="I240" s="124"/>
      <c r="J240" s="124"/>
      <c r="K240" s="124"/>
      <c r="L240" s="129"/>
      <c r="M240" s="125"/>
      <c r="N240" s="125"/>
      <c r="O240" s="125"/>
      <c r="P240" s="125"/>
      <c r="Q240" s="125"/>
      <c r="R240" s="125"/>
      <c r="S240" s="125"/>
      <c r="T240" s="125"/>
      <c r="U240" s="125"/>
      <c r="V240" s="124"/>
      <c r="W240" s="124"/>
      <c r="X240" s="124"/>
      <c r="Y240" s="136"/>
      <c r="Z240" s="136"/>
      <c r="AA240" s="136"/>
      <c r="AB240" s="127"/>
      <c r="AC240" s="125"/>
      <c r="AD240" s="127"/>
      <c r="AE240" s="124"/>
      <c r="AF240" s="124"/>
    </row>
    <row r="241" spans="2:32" ht="15" customHeight="1" x14ac:dyDescent="0.25">
      <c r="B241" s="125"/>
      <c r="C241" s="124"/>
      <c r="D241" s="124"/>
      <c r="E241" s="124"/>
      <c r="F241" s="124"/>
      <c r="G241" s="124"/>
      <c r="H241" s="124"/>
      <c r="I241" s="124"/>
      <c r="J241" s="124"/>
      <c r="K241" s="124"/>
      <c r="L241" s="129"/>
      <c r="M241" s="125"/>
      <c r="N241" s="125"/>
      <c r="O241" s="125"/>
      <c r="P241" s="125"/>
      <c r="Q241" s="125"/>
      <c r="R241" s="125"/>
      <c r="S241" s="125"/>
      <c r="T241" s="125"/>
      <c r="U241" s="125"/>
      <c r="V241" s="124"/>
      <c r="W241" s="124"/>
      <c r="X241" s="124"/>
      <c r="Y241" s="136"/>
      <c r="Z241" s="136"/>
      <c r="AA241" s="136"/>
      <c r="AB241" s="127"/>
      <c r="AC241" s="125"/>
      <c r="AD241" s="127"/>
      <c r="AE241" s="124"/>
      <c r="AF241" s="124"/>
    </row>
    <row r="242" spans="2:32" ht="15" customHeight="1" x14ac:dyDescent="0.25">
      <c r="B242" s="122"/>
      <c r="C242" s="124"/>
      <c r="D242" s="123"/>
      <c r="E242" s="123"/>
      <c r="F242" s="123"/>
      <c r="G242" s="123"/>
      <c r="H242" s="123"/>
      <c r="I242" s="123"/>
      <c r="J242" s="123"/>
      <c r="K242" s="123"/>
      <c r="L242" s="125"/>
      <c r="M242" s="125"/>
      <c r="N242" s="122"/>
      <c r="O242" s="122"/>
      <c r="P242" s="122"/>
      <c r="Q242" s="122"/>
      <c r="R242" s="122"/>
      <c r="S242" s="122"/>
      <c r="T242" s="122"/>
      <c r="U242" s="122"/>
      <c r="V242" s="124"/>
      <c r="W242" s="123"/>
      <c r="X242" s="123"/>
      <c r="Y242" s="135"/>
      <c r="Z242" s="135"/>
      <c r="AA242" s="135"/>
      <c r="AB242" s="126"/>
      <c r="AC242" s="122"/>
      <c r="AD242" s="126"/>
      <c r="AE242" s="124"/>
      <c r="AF242" s="124"/>
    </row>
    <row r="243" spans="2:32" ht="15" customHeight="1" x14ac:dyDescent="0.25">
      <c r="B243" s="125"/>
      <c r="C243" s="124"/>
      <c r="D243" s="124"/>
      <c r="E243" s="124"/>
      <c r="F243" s="124"/>
      <c r="G243" s="124"/>
      <c r="H243" s="124"/>
      <c r="I243" s="124"/>
      <c r="J243" s="124"/>
      <c r="K243" s="124"/>
      <c r="L243" s="129"/>
      <c r="M243" s="125"/>
      <c r="N243" s="125"/>
      <c r="O243" s="125"/>
      <c r="P243" s="125"/>
      <c r="Q243" s="125"/>
      <c r="R243" s="125"/>
      <c r="S243" s="125"/>
      <c r="T243" s="125"/>
      <c r="U243" s="125"/>
      <c r="V243" s="124"/>
      <c r="W243" s="124"/>
      <c r="X243" s="124"/>
      <c r="Y243" s="136"/>
      <c r="Z243" s="136"/>
      <c r="AA243" s="136"/>
      <c r="AB243" s="127"/>
      <c r="AC243" s="125"/>
      <c r="AD243" s="127"/>
      <c r="AE243" s="124"/>
      <c r="AF243" s="124"/>
    </row>
    <row r="244" spans="2:32" ht="15" customHeight="1" x14ac:dyDescent="0.25">
      <c r="B244" s="125"/>
      <c r="C244" s="124"/>
      <c r="D244" s="124"/>
      <c r="E244" s="124"/>
      <c r="F244" s="124"/>
      <c r="G244" s="124"/>
      <c r="H244" s="124"/>
      <c r="I244" s="124"/>
      <c r="J244" s="124"/>
      <c r="K244" s="124"/>
      <c r="L244" s="124"/>
      <c r="N244" s="125"/>
      <c r="O244" s="125"/>
      <c r="P244" s="125"/>
      <c r="Q244" s="125"/>
      <c r="R244" s="125"/>
      <c r="S244" s="125"/>
      <c r="T244" s="125"/>
      <c r="U244" s="125"/>
      <c r="V244" s="124"/>
      <c r="W244" s="124"/>
      <c r="X244" s="124"/>
      <c r="Y244" s="125"/>
      <c r="Z244" s="125"/>
      <c r="AA244" s="125"/>
      <c r="AB244" s="127"/>
      <c r="AC244" s="125"/>
      <c r="AD244" s="127"/>
      <c r="AE244" s="124"/>
      <c r="AF244" s="124"/>
    </row>
    <row r="245" spans="2:32" ht="15" customHeight="1" x14ac:dyDescent="0.25">
      <c r="B245" s="125"/>
      <c r="C245" s="124"/>
      <c r="D245" s="124"/>
      <c r="E245" s="124"/>
      <c r="F245" s="124"/>
      <c r="G245" s="124"/>
      <c r="H245" s="124"/>
      <c r="I245" s="124"/>
      <c r="J245" s="124"/>
      <c r="K245" s="124"/>
      <c r="L245" s="124"/>
      <c r="M245" s="125"/>
      <c r="N245" s="125"/>
      <c r="O245" s="125"/>
      <c r="P245" s="125"/>
      <c r="Q245" s="125"/>
      <c r="R245" s="125"/>
      <c r="S245" s="125"/>
      <c r="T245" s="125"/>
      <c r="U245" s="125"/>
      <c r="V245" s="124"/>
      <c r="W245" s="124"/>
      <c r="X245" s="124"/>
      <c r="Y245" s="136"/>
      <c r="Z245" s="136"/>
      <c r="AA245" s="136"/>
      <c r="AB245" s="127"/>
      <c r="AC245" s="125"/>
      <c r="AD245" s="127"/>
      <c r="AE245" s="124"/>
      <c r="AF245" s="124"/>
    </row>
  </sheetData>
  <autoFilter ref="A2:AZ84" xr:uid="{C78843A5-CB60-4BA1-9435-4CED1E888142}">
    <sortState xmlns:xlrd2="http://schemas.microsoft.com/office/spreadsheetml/2017/richdata2" ref="A3:AG84">
      <sortCondition ref="M2:M84"/>
    </sortState>
  </autoFilter>
  <mergeCells count="3">
    <mergeCell ref="D1:K1"/>
    <mergeCell ref="V1:X1"/>
    <mergeCell ref="O1:U1"/>
  </mergeCells>
  <conditionalFormatting sqref="A1:A2">
    <cfRule type="expression" dxfId="23" priority="145">
      <formula>$AB1=TRUE</formula>
    </cfRule>
    <cfRule type="expression" dxfId="22" priority="146">
      <formula>$AB1="Duplicate / Variant"</formula>
    </cfRule>
  </conditionalFormatting>
  <conditionalFormatting sqref="A3:AF47 A54:AF55 A65:AD65 A70 C70:AF70 A71:AF75 A76:AC77 AE76:AF77 A85:AF85 A86:L86 N86:AF86 A87:AF1048576">
    <cfRule type="expression" dxfId="21" priority="120">
      <formula>ISNUMBER($AB3)</formula>
    </cfRule>
  </conditionalFormatting>
  <conditionalFormatting sqref="A3:AF55 A61:AF69 A70 C70:AF70 A71:AF77 A85:AF85 A86:L86 N86:AF86 A87:AF1048576">
    <cfRule type="expression" dxfId="20" priority="121">
      <formula>$AB3="Context"</formula>
    </cfRule>
  </conditionalFormatting>
  <conditionalFormatting sqref="A48:AF53 A61:AF64 A66:AF69 AD76:AD77">
    <cfRule type="expression" dxfId="19" priority="825">
      <formula>OR(#REF!=-1,#REF!=-1,#REF!=-1)</formula>
    </cfRule>
    <cfRule type="expression" dxfId="18" priority="826">
      <formula>ISNUMBER($AB48)</formula>
    </cfRule>
  </conditionalFormatting>
  <conditionalFormatting sqref="A56:AF60 A78:AF84">
    <cfRule type="expression" dxfId="17" priority="1074">
      <formula>$AB56="Context"</formula>
    </cfRule>
    <cfRule type="expression" dxfId="16" priority="1075">
      <formula>ISNUMBER($AB56)</formula>
    </cfRule>
  </conditionalFormatting>
  <conditionalFormatting sqref="A71:AF75 A3:AF47 A54:AF59 A60:AC60 AE60:AF60 A65:AD65 C70:AF70 A76:AC77 AE76:AF77 A78:AF78 A79:AC79 AE79:AF79 A80:AF85 A86:L86 N86:AF86 A87:AF1048576 A70">
    <cfRule type="expression" dxfId="15" priority="119">
      <formula>OR(#REF!=-1,#REF!=-1,#REF!=-1)</formula>
    </cfRule>
  </conditionalFormatting>
  <conditionalFormatting sqref="B6:B7">
    <cfRule type="expression" dxfId="14" priority="2">
      <formula>ISNUMBER($AB6)</formula>
    </cfRule>
  </conditionalFormatting>
  <conditionalFormatting sqref="B75">
    <cfRule type="expression" dxfId="13" priority="114">
      <formula>#REF!=TRUE</formula>
    </cfRule>
    <cfRule type="expression" dxfId="12" priority="692">
      <formula>#REF!="Context"</formula>
    </cfRule>
    <cfRule type="expression" dxfId="11" priority="693">
      <formula>OR(#REF!=-1,#REF!=-1,#REF!=-1)</formula>
    </cfRule>
    <cfRule type="expression" dxfId="10" priority="694">
      <formula>ISNUMBER(#REF!)</formula>
    </cfRule>
  </conditionalFormatting>
  <conditionalFormatting sqref="B2:AF69 B1:O1 Y1:AF1 C70:AF70 B71:AF85 B86:L86 N86:AF86 B87:AF1048576">
    <cfRule type="expression" dxfId="9" priority="57">
      <formula>$AB1=TRUE</formula>
    </cfRule>
  </conditionalFormatting>
  <conditionalFormatting sqref="Q5:Q19">
    <cfRule type="expression" dxfId="8" priority="124">
      <formula>ISNUMBER($AB5)</formula>
    </cfRule>
  </conditionalFormatting>
  <conditionalFormatting sqref="AD7">
    <cfRule type="expression" dxfId="7" priority="77">
      <formula>$AB7=TRUE</formula>
    </cfRule>
  </conditionalFormatting>
  <conditionalFormatting sqref="AD38:AD40">
    <cfRule type="expression" dxfId="6" priority="73">
      <formula>$AB38=TRUE</formula>
    </cfRule>
  </conditionalFormatting>
  <conditionalFormatting sqref="AD60 AD79">
    <cfRule type="expression" dxfId="5" priority="833">
      <formula>$AB60=TRUE</formula>
    </cfRule>
    <cfRule type="expression" dxfId="4" priority="834">
      <formula>OR(#REF!=-1,#REF!=-1,#REF!=-1)</formula>
    </cfRule>
  </conditionalFormatting>
  <conditionalFormatting sqref="AD76:AD77">
    <cfRule type="expression" dxfId="3" priority="25">
      <formula>$AB76=TRUE</formula>
    </cfRule>
  </conditionalFormatting>
  <conditionalFormatting sqref="AE65">
    <cfRule type="expression" dxfId="2" priority="50">
      <formula>OR(#REF!=-1,#REF!=-1,#REF!=-1)</formula>
    </cfRule>
  </conditionalFormatting>
  <conditionalFormatting sqref="AE65:AF65">
    <cfRule type="expression" dxfId="1" priority="51">
      <formula>ISNUMBER($AB65)</formula>
    </cfRule>
  </conditionalFormatting>
  <conditionalFormatting sqref="AF65">
    <cfRule type="expression" dxfId="0" priority="148">
      <formula>OR(#REF!=-1,#REF!=-1,#REF!=-1)</formula>
    </cfRule>
  </conditionalFormatting>
  <hyperlinks>
    <hyperlink ref="AD6" r:id="rId1" display="https://www.mexicali.gob.mx/portalmexicali/calidad-aire/indices?id=1" xr:uid="{30C89BF3-EECD-4F6A-BBCF-DED5C3CB6989}"/>
    <hyperlink ref="AD7" r:id="rId2" display="https://www.mexicali.gob.mx/portalmexicali/calidad-aire/indices?id=1" xr:uid="{B7D6F1DF-186A-404A-B5DC-EAF4D168F667}"/>
    <hyperlink ref="AD9" r:id="rId3" display="https://www.mexicali.gob.mx/portalmexicali/calidad-aire/indices?id=1" xr:uid="{469C4654-41B4-4A15-AF8E-D9BD8F5F92B5}"/>
    <hyperlink ref="AD5" r:id="rId4" display="https://www.mexicali.gob.mx/portalmexicali/calidad-aire/indices?id=1" xr:uid="{60E98936-C867-4000-82FA-E167AB93B483}"/>
  </hyperlinks>
  <pageMargins left="0.7" right="0.7" top="0.75" bottom="0.75" header="0.3" footer="0.3"/>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87FC9-AD92-4309-9648-C50F125E2336}">
  <dimension ref="A1:E9"/>
  <sheetViews>
    <sheetView workbookViewId="0">
      <pane xSplit="1" ySplit="1" topLeftCell="B2" activePane="bottomRight" state="frozen"/>
      <selection pane="topRight" activeCell="B1" sqref="B1"/>
      <selection pane="bottomLeft" activeCell="A2" sqref="A2"/>
      <selection pane="bottomRight" activeCell="A9" sqref="A9:D9"/>
    </sheetView>
  </sheetViews>
  <sheetFormatPr defaultRowHeight="15.75" x14ac:dyDescent="0.25"/>
  <cols>
    <col min="1" max="2" width="29.75" customWidth="1"/>
    <col min="3" max="3" width="61.75" customWidth="1"/>
    <col min="4" max="4" width="115.25" customWidth="1"/>
    <col min="5" max="5" width="50.125" customWidth="1"/>
  </cols>
  <sheetData>
    <row r="1" spans="1:5" s="8" customFormat="1" ht="30" customHeight="1" x14ac:dyDescent="0.25">
      <c r="A1" s="154" t="s">
        <v>1290</v>
      </c>
      <c r="B1" s="154" t="s">
        <v>1305</v>
      </c>
      <c r="C1" s="154" t="s">
        <v>1295</v>
      </c>
      <c r="D1" s="154" t="s">
        <v>1301</v>
      </c>
      <c r="E1" s="154" t="s">
        <v>1311</v>
      </c>
    </row>
    <row r="2" spans="1:5" x14ac:dyDescent="0.25">
      <c r="A2" s="155" t="s">
        <v>290</v>
      </c>
      <c r="B2" s="155" t="s">
        <v>1307</v>
      </c>
      <c r="C2" s="155" t="s">
        <v>1291</v>
      </c>
      <c r="D2" s="155" t="s">
        <v>1294</v>
      </c>
    </row>
    <row r="3" spans="1:5" x14ac:dyDescent="0.25">
      <c r="A3" t="s">
        <v>285</v>
      </c>
      <c r="B3" t="s">
        <v>1309</v>
      </c>
      <c r="C3" t="s">
        <v>1292</v>
      </c>
      <c r="D3" t="s">
        <v>1293</v>
      </c>
    </row>
    <row r="4" spans="1:5" x14ac:dyDescent="0.25">
      <c r="A4" t="s">
        <v>115</v>
      </c>
      <c r="B4" t="s">
        <v>1308</v>
      </c>
      <c r="C4" t="s">
        <v>1296</v>
      </c>
      <c r="D4" t="s">
        <v>1297</v>
      </c>
    </row>
    <row r="5" spans="1:5" x14ac:dyDescent="0.25">
      <c r="A5" s="161" t="s">
        <v>124</v>
      </c>
      <c r="B5" s="161" t="s">
        <v>1308</v>
      </c>
      <c r="C5" t="s">
        <v>1298</v>
      </c>
      <c r="D5" t="s">
        <v>1299</v>
      </c>
    </row>
    <row r="6" spans="1:5" x14ac:dyDescent="0.25">
      <c r="A6" s="161"/>
      <c r="B6" s="161"/>
      <c r="D6" t="s">
        <v>1300</v>
      </c>
    </row>
    <row r="7" spans="1:5" x14ac:dyDescent="0.25">
      <c r="A7" s="161"/>
      <c r="B7" s="161"/>
      <c r="D7" t="s">
        <v>1302</v>
      </c>
    </row>
    <row r="8" spans="1:5" x14ac:dyDescent="0.25">
      <c r="A8" t="s">
        <v>175</v>
      </c>
      <c r="B8" t="s">
        <v>1308</v>
      </c>
      <c r="C8" t="s">
        <v>1306</v>
      </c>
      <c r="D8" t="s">
        <v>509</v>
      </c>
      <c r="E8" s="153" t="s">
        <v>1312</v>
      </c>
    </row>
    <row r="9" spans="1:5" x14ac:dyDescent="0.25">
      <c r="A9" s="156" t="s">
        <v>110</v>
      </c>
      <c r="B9" s="156" t="s">
        <v>1310</v>
      </c>
      <c r="C9" s="156"/>
      <c r="D9" s="156" t="s">
        <v>1303</v>
      </c>
      <c r="E9" s="153" t="s">
        <v>1304</v>
      </c>
    </row>
  </sheetData>
  <mergeCells count="2">
    <mergeCell ref="A5:A7"/>
    <mergeCell ref="B5:B7"/>
  </mergeCells>
  <hyperlinks>
    <hyperlink ref="E8" r:id="rId1" display="https://doi.org/10.5198/jtlu.2018.1132" xr:uid="{7797F667-F8C3-4FA8-9080-91A13C795A0E}"/>
    <hyperlink ref="E9" r:id="rId2" xr:uid="{C7EDCB4F-1827-4890-B148-FFB05E343A6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9038-6C26-4AF2-8ADF-65B23D577082}">
  <sheetPr filterMode="1"/>
  <dimension ref="A1:H32"/>
  <sheetViews>
    <sheetView tabSelected="1" zoomScale="85" zoomScaleNormal="85" workbookViewId="0">
      <pane ySplit="1" topLeftCell="A4" activePane="bottomLeft" state="frozen"/>
      <selection activeCell="AA2" sqref="AA2"/>
      <selection pane="bottomLeft" activeCell="G13" sqref="G13"/>
    </sheetView>
  </sheetViews>
  <sheetFormatPr defaultColWidth="8.875" defaultRowHeight="15.75" x14ac:dyDescent="0.25"/>
  <cols>
    <col min="2" max="2" width="58.625" style="2" customWidth="1"/>
    <col min="5" max="5" width="6" bestFit="1" customWidth="1"/>
    <col min="6" max="6" width="72" customWidth="1"/>
    <col min="7" max="7" width="16.5" style="96" customWidth="1"/>
    <col min="8" max="8" width="10.625" style="14" customWidth="1"/>
  </cols>
  <sheetData>
    <row r="1" spans="1:8" x14ac:dyDescent="0.25">
      <c r="A1" s="61" t="s">
        <v>0</v>
      </c>
      <c r="B1" s="61" t="s">
        <v>1</v>
      </c>
      <c r="C1" s="61" t="s">
        <v>2</v>
      </c>
      <c r="D1" s="61" t="s">
        <v>3</v>
      </c>
      <c r="E1" s="62" t="s">
        <v>4</v>
      </c>
      <c r="F1" s="61" t="s">
        <v>5</v>
      </c>
      <c r="G1" s="89" t="s">
        <v>6</v>
      </c>
      <c r="H1" s="88" t="s">
        <v>7</v>
      </c>
    </row>
    <row r="2" spans="1:8" ht="70.5" customHeight="1" x14ac:dyDescent="0.25">
      <c r="A2" s="85">
        <v>1</v>
      </c>
      <c r="B2" s="86" t="s">
        <v>8</v>
      </c>
      <c r="C2" s="85" t="s">
        <v>9</v>
      </c>
      <c r="D2" s="85">
        <v>2021</v>
      </c>
      <c r="E2" s="87">
        <v>1</v>
      </c>
      <c r="F2" s="86" t="s">
        <v>10</v>
      </c>
      <c r="G2" s="90"/>
      <c r="H2" s="14" t="s">
        <v>11</v>
      </c>
    </row>
    <row r="3" spans="1:8" ht="21.75" customHeight="1" x14ac:dyDescent="0.25">
      <c r="A3" s="66">
        <v>2</v>
      </c>
      <c r="B3" s="68" t="s">
        <v>12</v>
      </c>
      <c r="C3" s="66" t="s">
        <v>13</v>
      </c>
      <c r="D3" s="66">
        <v>2021</v>
      </c>
      <c r="E3" s="67">
        <v>1</v>
      </c>
      <c r="F3" s="68" t="s">
        <v>14</v>
      </c>
      <c r="G3" s="91"/>
      <c r="H3" s="14" t="s">
        <v>7</v>
      </c>
    </row>
    <row r="4" spans="1:8" ht="33.75" customHeight="1" x14ac:dyDescent="0.25">
      <c r="A4" s="69">
        <v>3</v>
      </c>
      <c r="B4" s="81" t="s">
        <v>15</v>
      </c>
      <c r="C4" s="69" t="s">
        <v>16</v>
      </c>
      <c r="D4" s="69">
        <v>2022</v>
      </c>
      <c r="E4" s="70">
        <v>1</v>
      </c>
      <c r="F4" s="71"/>
      <c r="G4" s="92"/>
    </row>
    <row r="5" spans="1:8" ht="31.5" hidden="1" x14ac:dyDescent="0.25">
      <c r="A5" s="63">
        <v>4</v>
      </c>
      <c r="B5" s="5" t="s">
        <v>17</v>
      </c>
      <c r="C5" s="63" t="s">
        <v>18</v>
      </c>
      <c r="D5" s="63">
        <v>2022</v>
      </c>
      <c r="E5" s="64" t="s">
        <v>19</v>
      </c>
      <c r="F5" s="65"/>
      <c r="G5" s="93"/>
      <c r="H5" s="14" t="s">
        <v>11</v>
      </c>
    </row>
    <row r="6" spans="1:8" ht="34.5" customHeight="1" x14ac:dyDescent="0.25">
      <c r="A6" s="72">
        <v>5</v>
      </c>
      <c r="B6" s="78" t="s">
        <v>20</v>
      </c>
      <c r="C6" s="72" t="s">
        <v>21</v>
      </c>
      <c r="D6" s="72">
        <v>2025</v>
      </c>
      <c r="E6" s="73">
        <v>1</v>
      </c>
      <c r="F6" s="74"/>
      <c r="G6" s="94"/>
    </row>
    <row r="7" spans="1:8" ht="51" customHeight="1" x14ac:dyDescent="0.25">
      <c r="A7" s="66">
        <v>6</v>
      </c>
      <c r="B7" s="68" t="s">
        <v>22</v>
      </c>
      <c r="C7" s="66" t="s">
        <v>9</v>
      </c>
      <c r="D7" s="66">
        <v>2022</v>
      </c>
      <c r="E7" s="67">
        <v>1</v>
      </c>
      <c r="F7" s="68" t="s">
        <v>14</v>
      </c>
      <c r="G7" s="91"/>
      <c r="H7" s="14" t="s">
        <v>7</v>
      </c>
    </row>
    <row r="8" spans="1:8" ht="37.5" customHeight="1" x14ac:dyDescent="0.25">
      <c r="A8" s="85">
        <v>7</v>
      </c>
      <c r="B8" s="86" t="s">
        <v>23</v>
      </c>
      <c r="C8" s="85" t="s">
        <v>24</v>
      </c>
      <c r="D8" s="85">
        <v>2019</v>
      </c>
      <c r="E8" s="87">
        <v>1</v>
      </c>
      <c r="F8" s="86" t="s">
        <v>25</v>
      </c>
      <c r="G8" s="90"/>
      <c r="H8" s="14" t="s">
        <v>11</v>
      </c>
    </row>
    <row r="9" spans="1:8" ht="35.25" customHeight="1" x14ac:dyDescent="0.25">
      <c r="A9" s="75">
        <v>8</v>
      </c>
      <c r="B9" s="82" t="s">
        <v>26</v>
      </c>
      <c r="C9" s="75" t="s">
        <v>27</v>
      </c>
      <c r="D9" s="75">
        <v>2018</v>
      </c>
      <c r="E9" s="76">
        <v>1</v>
      </c>
      <c r="F9" s="77"/>
      <c r="G9" s="95" t="s">
        <v>28</v>
      </c>
    </row>
    <row r="10" spans="1:8" ht="36.75" customHeight="1" x14ac:dyDescent="0.25">
      <c r="A10" s="85">
        <v>9</v>
      </c>
      <c r="B10" s="86" t="s">
        <v>29</v>
      </c>
      <c r="C10" s="85" t="s">
        <v>30</v>
      </c>
      <c r="D10" s="85">
        <v>2019</v>
      </c>
      <c r="E10" s="87">
        <v>1</v>
      </c>
      <c r="F10" s="86" t="s">
        <v>31</v>
      </c>
      <c r="G10" s="90"/>
      <c r="H10" s="14" t="s">
        <v>11</v>
      </c>
    </row>
    <row r="11" spans="1:8" ht="34.5" customHeight="1" x14ac:dyDescent="0.25">
      <c r="A11" s="66">
        <v>10</v>
      </c>
      <c r="B11" s="68" t="s">
        <v>32</v>
      </c>
      <c r="C11" s="66" t="s">
        <v>33</v>
      </c>
      <c r="D11" s="66">
        <v>2022</v>
      </c>
      <c r="E11" s="67">
        <v>1</v>
      </c>
      <c r="F11" s="68" t="s">
        <v>14</v>
      </c>
      <c r="G11" s="91"/>
      <c r="H11" s="14" t="s">
        <v>7</v>
      </c>
    </row>
    <row r="12" spans="1:8" x14ac:dyDescent="0.25">
      <c r="A12" s="85">
        <v>11</v>
      </c>
      <c r="B12" s="86" t="s">
        <v>34</v>
      </c>
      <c r="C12" s="85" t="s">
        <v>35</v>
      </c>
      <c r="D12" s="85">
        <v>2019</v>
      </c>
      <c r="E12" s="87">
        <v>1</v>
      </c>
      <c r="F12" s="86" t="s">
        <v>25</v>
      </c>
      <c r="G12" s="90"/>
      <c r="H12" s="14" t="s">
        <v>11</v>
      </c>
    </row>
    <row r="13" spans="1:8" ht="34.5" customHeight="1" x14ac:dyDescent="0.25">
      <c r="A13" s="72">
        <v>12</v>
      </c>
      <c r="B13" s="78" t="s">
        <v>36</v>
      </c>
      <c r="C13" s="72" t="s">
        <v>39</v>
      </c>
      <c r="D13" s="72">
        <v>2016</v>
      </c>
      <c r="E13" s="73">
        <v>1</v>
      </c>
      <c r="F13" s="74"/>
      <c r="G13" s="94"/>
    </row>
    <row r="14" spans="1:8" ht="55.5" customHeight="1" x14ac:dyDescent="0.25">
      <c r="A14" s="72">
        <v>13</v>
      </c>
      <c r="B14" s="78" t="s">
        <v>38</v>
      </c>
      <c r="C14" s="72" t="s">
        <v>37</v>
      </c>
      <c r="D14" s="72">
        <v>2021</v>
      </c>
      <c r="E14" s="73">
        <v>1</v>
      </c>
      <c r="F14" s="74"/>
      <c r="G14" s="94"/>
    </row>
    <row r="15" spans="1:8" ht="57.75" customHeight="1" x14ac:dyDescent="0.25">
      <c r="A15" s="85">
        <v>14</v>
      </c>
      <c r="B15" s="86" t="s">
        <v>40</v>
      </c>
      <c r="C15" s="85" t="s">
        <v>41</v>
      </c>
      <c r="D15" s="85">
        <v>2021</v>
      </c>
      <c r="E15" s="87">
        <v>1</v>
      </c>
      <c r="F15" s="86" t="s">
        <v>42</v>
      </c>
      <c r="G15" s="90"/>
      <c r="H15" s="8" t="s">
        <v>43</v>
      </c>
    </row>
    <row r="16" spans="1:8" ht="39.75" customHeight="1" x14ac:dyDescent="0.25">
      <c r="A16" s="63">
        <v>15</v>
      </c>
      <c r="B16" s="5" t="s">
        <v>44</v>
      </c>
      <c r="C16" s="63" t="s">
        <v>1342</v>
      </c>
      <c r="D16" s="63">
        <v>2024</v>
      </c>
      <c r="E16" s="64">
        <v>1</v>
      </c>
      <c r="F16" s="65" t="s">
        <v>45</v>
      </c>
      <c r="G16" s="93"/>
    </row>
    <row r="17" spans="1:8" ht="34.5" customHeight="1" x14ac:dyDescent="0.25">
      <c r="A17" s="72">
        <v>16</v>
      </c>
      <c r="B17" s="78" t="s">
        <v>46</v>
      </c>
      <c r="C17" s="72" t="s">
        <v>47</v>
      </c>
      <c r="D17" s="72">
        <v>2025</v>
      </c>
      <c r="E17" s="73">
        <v>1</v>
      </c>
      <c r="F17" s="74"/>
      <c r="G17" s="94"/>
    </row>
    <row r="18" spans="1:8" ht="35.25" customHeight="1" x14ac:dyDescent="0.25">
      <c r="A18" s="72">
        <v>17</v>
      </c>
      <c r="B18" s="78" t="s">
        <v>48</v>
      </c>
      <c r="C18" s="72" t="s">
        <v>49</v>
      </c>
      <c r="D18" s="72">
        <v>2023</v>
      </c>
      <c r="E18" s="73">
        <v>1</v>
      </c>
      <c r="F18" s="74"/>
      <c r="G18" s="94"/>
    </row>
    <row r="19" spans="1:8" ht="35.25" customHeight="1" x14ac:dyDescent="0.25">
      <c r="A19" s="72">
        <v>18</v>
      </c>
      <c r="B19" s="78" t="s">
        <v>50</v>
      </c>
      <c r="C19" s="72" t="s">
        <v>53</v>
      </c>
      <c r="D19" s="72">
        <v>2024</v>
      </c>
      <c r="E19" s="73">
        <v>1</v>
      </c>
      <c r="F19" s="74"/>
      <c r="G19" s="94"/>
    </row>
    <row r="20" spans="1:8" ht="67.5" customHeight="1" x14ac:dyDescent="0.25">
      <c r="A20" s="85">
        <v>19</v>
      </c>
      <c r="B20" s="86" t="s">
        <v>52</v>
      </c>
      <c r="C20" s="85" t="s">
        <v>51</v>
      </c>
      <c r="D20" s="85">
        <v>2022</v>
      </c>
      <c r="E20" s="87">
        <v>1</v>
      </c>
      <c r="F20" s="86" t="s">
        <v>54</v>
      </c>
      <c r="G20" s="90"/>
    </row>
    <row r="21" spans="1:8" ht="41.25" customHeight="1" x14ac:dyDescent="0.25">
      <c r="A21" s="72">
        <v>20</v>
      </c>
      <c r="B21" s="83" t="s">
        <v>55</v>
      </c>
      <c r="C21" s="72" t="s">
        <v>56</v>
      </c>
      <c r="D21" s="72">
        <v>2021</v>
      </c>
      <c r="E21" s="73">
        <v>1</v>
      </c>
      <c r="F21" s="74"/>
      <c r="G21" s="94"/>
    </row>
    <row r="22" spans="1:8" ht="34.5" customHeight="1" x14ac:dyDescent="0.25">
      <c r="A22" s="66">
        <v>21</v>
      </c>
      <c r="B22" s="68" t="s">
        <v>57</v>
      </c>
      <c r="C22" s="66" t="s">
        <v>58</v>
      </c>
      <c r="D22" s="66">
        <v>2025</v>
      </c>
      <c r="E22" s="67">
        <v>1</v>
      </c>
      <c r="F22" s="68" t="s">
        <v>14</v>
      </c>
      <c r="G22" s="91"/>
      <c r="H22" s="14" t="s">
        <v>7</v>
      </c>
    </row>
    <row r="23" spans="1:8" ht="49.5" customHeight="1" x14ac:dyDescent="0.25">
      <c r="A23" s="72">
        <v>22</v>
      </c>
      <c r="B23" s="78" t="s">
        <v>59</v>
      </c>
      <c r="C23" s="72" t="s">
        <v>37</v>
      </c>
      <c r="D23" s="72">
        <v>2019</v>
      </c>
      <c r="E23" s="73">
        <v>1</v>
      </c>
      <c r="F23" s="74"/>
      <c r="G23" s="94"/>
    </row>
    <row r="24" spans="1:8" ht="52.5" hidden="1" customHeight="1" x14ac:dyDescent="0.25">
      <c r="A24" s="72">
        <v>23</v>
      </c>
      <c r="B24" s="79" t="s">
        <v>60</v>
      </c>
      <c r="C24" s="72" t="s">
        <v>61</v>
      </c>
      <c r="D24" s="72">
        <v>2020</v>
      </c>
      <c r="E24" s="73">
        <v>3</v>
      </c>
      <c r="F24" s="74"/>
      <c r="G24" s="94"/>
    </row>
    <row r="25" spans="1:8" ht="36.75" hidden="1" customHeight="1" x14ac:dyDescent="0.25">
      <c r="A25" s="66">
        <v>24</v>
      </c>
      <c r="B25" s="84" t="s">
        <v>62</v>
      </c>
      <c r="C25" s="66" t="s">
        <v>63</v>
      </c>
      <c r="D25" s="66">
        <v>2025</v>
      </c>
      <c r="E25" s="67">
        <v>3</v>
      </c>
      <c r="F25" s="68" t="s">
        <v>14</v>
      </c>
      <c r="G25" s="91"/>
      <c r="H25" s="14" t="s">
        <v>7</v>
      </c>
    </row>
    <row r="26" spans="1:8" ht="35.25" hidden="1" customHeight="1" x14ac:dyDescent="0.25">
      <c r="A26" s="66">
        <v>25</v>
      </c>
      <c r="B26" s="84" t="s">
        <v>64</v>
      </c>
      <c r="C26" s="66" t="s">
        <v>65</v>
      </c>
      <c r="D26" s="66">
        <v>2025</v>
      </c>
      <c r="E26" s="67">
        <v>3</v>
      </c>
      <c r="F26" s="68" t="s">
        <v>14</v>
      </c>
      <c r="G26" s="91"/>
      <c r="H26" s="14" t="s">
        <v>7</v>
      </c>
    </row>
    <row r="27" spans="1:8" ht="36" hidden="1" customHeight="1" x14ac:dyDescent="0.25">
      <c r="A27" s="72">
        <v>26</v>
      </c>
      <c r="B27" s="79" t="s">
        <v>66</v>
      </c>
      <c r="C27" s="72" t="s">
        <v>67</v>
      </c>
      <c r="D27" s="72">
        <v>2025</v>
      </c>
      <c r="E27" s="73">
        <v>3</v>
      </c>
      <c r="F27" s="74"/>
      <c r="G27" s="94"/>
    </row>
    <row r="28" spans="1:8" ht="34.5" hidden="1" customHeight="1" x14ac:dyDescent="0.25">
      <c r="A28" s="72">
        <v>27</v>
      </c>
      <c r="B28" s="79" t="s">
        <v>68</v>
      </c>
      <c r="C28" s="72" t="s">
        <v>69</v>
      </c>
      <c r="D28" s="72">
        <v>2024</v>
      </c>
      <c r="E28" s="73">
        <v>3</v>
      </c>
      <c r="F28" s="74"/>
      <c r="G28" s="94"/>
    </row>
    <row r="29" spans="1:8" ht="34.5" hidden="1" customHeight="1" x14ac:dyDescent="0.25">
      <c r="A29" s="72">
        <v>28</v>
      </c>
      <c r="B29" s="79" t="s">
        <v>70</v>
      </c>
      <c r="C29" s="72" t="s">
        <v>71</v>
      </c>
      <c r="D29" s="72">
        <v>2023</v>
      </c>
      <c r="E29" s="73">
        <v>3</v>
      </c>
      <c r="F29" s="74"/>
      <c r="G29" s="95" t="s">
        <v>28</v>
      </c>
    </row>
    <row r="30" spans="1:8" ht="35.25" hidden="1" customHeight="1" x14ac:dyDescent="0.25">
      <c r="A30" s="66">
        <v>29</v>
      </c>
      <c r="B30" s="84" t="s">
        <v>72</v>
      </c>
      <c r="C30" s="66" t="s">
        <v>73</v>
      </c>
      <c r="D30" s="66">
        <v>2023</v>
      </c>
      <c r="E30" s="67">
        <v>3</v>
      </c>
      <c r="F30" s="68" t="s">
        <v>14</v>
      </c>
      <c r="G30" s="91"/>
      <c r="H30" s="14" t="s">
        <v>7</v>
      </c>
    </row>
    <row r="31" spans="1:8" ht="61.5" hidden="1" customHeight="1" x14ac:dyDescent="0.25">
      <c r="A31" s="72">
        <v>30</v>
      </c>
      <c r="B31" s="80" t="s">
        <v>74</v>
      </c>
      <c r="C31" s="72" t="s">
        <v>75</v>
      </c>
      <c r="D31" s="72">
        <v>2025</v>
      </c>
      <c r="E31" s="73">
        <v>3</v>
      </c>
      <c r="F31" s="74"/>
      <c r="G31" s="94"/>
    </row>
    <row r="32" spans="1:8" ht="34.5" hidden="1" customHeight="1" x14ac:dyDescent="0.25">
      <c r="A32" s="72">
        <v>31</v>
      </c>
      <c r="B32" s="79" t="s">
        <v>76</v>
      </c>
      <c r="C32" s="72" t="s">
        <v>16</v>
      </c>
      <c r="D32" s="72">
        <v>2022</v>
      </c>
      <c r="E32" s="73">
        <v>3</v>
      </c>
      <c r="F32" s="74"/>
      <c r="G32" s="94"/>
    </row>
  </sheetData>
  <autoFilter ref="A1:H32" xr:uid="{FB969038-6C26-4AF2-8ADF-65B23D577082}">
    <filterColumn colId="4">
      <filters>
        <filter val="1"/>
      </filters>
    </filterColumn>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B663D-CDD8-544E-BEAB-EC26E257578F}">
  <dimension ref="A1:P38"/>
  <sheetViews>
    <sheetView topLeftCell="B1" zoomScaleNormal="100" workbookViewId="0">
      <pane ySplit="1" topLeftCell="A98" activePane="bottomLeft" state="frozen"/>
      <selection activeCell="D5" sqref="D5"/>
      <selection pane="bottomLeft" activeCell="D5" sqref="D5"/>
    </sheetView>
  </sheetViews>
  <sheetFormatPr defaultColWidth="11" defaultRowHeight="15" customHeight="1" x14ac:dyDescent="0.25"/>
  <cols>
    <col min="1" max="1" width="9.875" style="48" customWidth="1"/>
    <col min="2" max="2" width="10.125" style="48" customWidth="1"/>
    <col min="3" max="3" width="10.125" style="104" customWidth="1"/>
    <col min="4" max="4" width="18.375" style="104" customWidth="1"/>
    <col min="5" max="5" width="23" style="14" customWidth="1"/>
    <col min="6" max="6" width="21.625" style="14" customWidth="1"/>
    <col min="7" max="7" width="18.375" style="14" customWidth="1"/>
    <col min="8" max="8" width="12" style="14" customWidth="1"/>
    <col min="9" max="9" width="23.875" style="14" customWidth="1"/>
    <col min="10" max="12" width="12" style="14" customWidth="1"/>
    <col min="13" max="13" width="52.125" style="14" customWidth="1"/>
    <col min="14" max="16" width="18.375" style="14" customWidth="1"/>
    <col min="17" max="16384" width="11" style="14"/>
  </cols>
  <sheetData>
    <row r="1" spans="1:16" ht="64.5" customHeight="1" x14ac:dyDescent="0.25">
      <c r="A1" s="43" t="s">
        <v>0</v>
      </c>
      <c r="B1" s="43" t="s">
        <v>1160</v>
      </c>
      <c r="C1" s="97" t="s">
        <v>78</v>
      </c>
      <c r="D1" s="97" t="s">
        <v>79</v>
      </c>
      <c r="E1" s="1" t="s">
        <v>80</v>
      </c>
      <c r="F1" s="1" t="s">
        <v>81</v>
      </c>
      <c r="G1" s="1" t="s">
        <v>82</v>
      </c>
      <c r="H1" s="1" t="s">
        <v>83</v>
      </c>
      <c r="I1" s="1" t="s">
        <v>77</v>
      </c>
      <c r="J1" s="1" t="s">
        <v>1161</v>
      </c>
      <c r="K1" s="1" t="s">
        <v>1162</v>
      </c>
      <c r="L1" s="1" t="s">
        <v>86</v>
      </c>
      <c r="M1" s="1" t="s">
        <v>84</v>
      </c>
      <c r="N1" s="1" t="s">
        <v>88</v>
      </c>
      <c r="O1" s="1" t="s">
        <v>5</v>
      </c>
      <c r="P1" s="1" t="s">
        <v>1163</v>
      </c>
    </row>
    <row r="2" spans="1:16" ht="15" customHeight="1" x14ac:dyDescent="0.25">
      <c r="A2" s="60">
        <v>10</v>
      </c>
      <c r="B2" s="60" t="b" cm="1">
        <f t="array" ref="B2">_xlfn.LET(
  _xlpm.ids, VALUE(_xlfn.TEXTSPLIT(SUBSTITUTE(A2,",",";"),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 s="108" t="s">
        <v>92</v>
      </c>
      <c r="D2" s="108" t="s">
        <v>109</v>
      </c>
      <c r="E2" s="32" t="s">
        <v>293</v>
      </c>
      <c r="F2" s="32" t="s">
        <v>136</v>
      </c>
      <c r="G2" s="32" t="s">
        <v>146</v>
      </c>
      <c r="H2" s="32"/>
      <c r="I2" s="33"/>
      <c r="J2" s="33"/>
      <c r="K2" s="33"/>
      <c r="L2" s="33"/>
      <c r="M2" s="33" t="s">
        <v>657</v>
      </c>
      <c r="N2" s="33" t="s">
        <v>148</v>
      </c>
      <c r="O2" s="28"/>
      <c r="P2" s="28"/>
    </row>
    <row r="3" spans="1:16" ht="15" customHeight="1" x14ac:dyDescent="0.25">
      <c r="A3" s="57">
        <v>1</v>
      </c>
      <c r="B3" s="57" t="b" cm="1">
        <f t="array" ref="B3">_xlfn.LET(
  _xlpm.ids, VALUE(_xlfn.TEXTSPLIT(SUBSTITUTE(A3,",",";"),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 s="99" t="s">
        <v>92</v>
      </c>
      <c r="D3" s="100" t="s">
        <v>109</v>
      </c>
      <c r="E3" s="25"/>
      <c r="F3" s="25" t="s">
        <v>136</v>
      </c>
      <c r="G3" s="25"/>
      <c r="H3" s="25"/>
      <c r="I3" s="3"/>
      <c r="J3" s="3"/>
      <c r="K3" s="3"/>
      <c r="L3" s="3"/>
      <c r="M3" s="3" t="s">
        <v>1164</v>
      </c>
      <c r="N3" s="3" t="s">
        <v>263</v>
      </c>
      <c r="O3" s="27"/>
      <c r="P3" s="27"/>
    </row>
    <row r="4" spans="1:16" ht="15" customHeight="1" x14ac:dyDescent="0.25">
      <c r="A4" s="48">
        <v>1</v>
      </c>
      <c r="B4" s="48" t="b" cm="1">
        <f t="array" ref="B4">_xlfn.LET(
  _xlpm.ids, VALUE(_xlfn.TEXTSPLIT(SUBSTITUTE(A4,",",";"),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 s="104" t="s">
        <v>92</v>
      </c>
      <c r="D4" s="102" t="s">
        <v>104</v>
      </c>
      <c r="E4" s="8" t="s">
        <v>546</v>
      </c>
      <c r="F4" s="8" t="s">
        <v>136</v>
      </c>
      <c r="G4" s="8" t="s">
        <v>216</v>
      </c>
      <c r="H4" s="8"/>
      <c r="I4" s="4"/>
      <c r="J4" s="4"/>
      <c r="K4" s="4"/>
      <c r="L4" s="4"/>
      <c r="M4" s="4" t="s">
        <v>551</v>
      </c>
      <c r="N4" s="4" t="s">
        <v>263</v>
      </c>
    </row>
    <row r="5" spans="1:16" ht="15" customHeight="1" x14ac:dyDescent="0.25">
      <c r="A5" s="44">
        <v>23</v>
      </c>
      <c r="B5" s="44" t="b" cm="1">
        <f t="array" ref="B5">_xlfn.LET(
  _xlpm.ids, VALUE(_xlfn.TEXTSPLIT(SUBSTITUTE(A5,",",";"),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 s="103" t="s">
        <v>92</v>
      </c>
      <c r="D5" s="101" t="s">
        <v>104</v>
      </c>
      <c r="E5" s="28" t="s">
        <v>546</v>
      </c>
      <c r="F5" s="28" t="s">
        <v>136</v>
      </c>
      <c r="G5" s="28" t="s">
        <v>110</v>
      </c>
      <c r="H5" s="28"/>
      <c r="I5" s="10"/>
      <c r="J5" s="10"/>
      <c r="K5" s="10"/>
      <c r="L5" s="10"/>
      <c r="M5" s="10" t="s">
        <v>676</v>
      </c>
      <c r="N5" s="10" t="s">
        <v>506</v>
      </c>
      <c r="O5" s="28"/>
      <c r="P5" s="28"/>
    </row>
    <row r="6" spans="1:16" ht="15" customHeight="1" x14ac:dyDescent="0.25">
      <c r="A6" s="50">
        <v>18</v>
      </c>
      <c r="B6" s="50" t="b" cm="1">
        <f t="array" ref="B6">_xlfn.LET(
  _xlpm.ids, VALUE(_xlfn.TEXTSPLIT(SUBSTITUTE(A6,",",";"),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 s="101" t="s">
        <v>92</v>
      </c>
      <c r="D6" s="103" t="s">
        <v>109</v>
      </c>
      <c r="E6" s="10" t="s">
        <v>199</v>
      </c>
      <c r="F6" s="4" t="s">
        <v>469</v>
      </c>
      <c r="G6" s="10" t="s">
        <v>290</v>
      </c>
      <c r="H6" s="10" t="s">
        <v>470</v>
      </c>
      <c r="J6" s="4"/>
      <c r="K6" s="4"/>
      <c r="L6" s="4"/>
      <c r="M6" s="4" t="s">
        <v>471</v>
      </c>
      <c r="N6" s="4" t="s">
        <v>292</v>
      </c>
      <c r="O6" s="28"/>
      <c r="P6" s="28"/>
    </row>
    <row r="7" spans="1:16" ht="15" customHeight="1" x14ac:dyDescent="0.25">
      <c r="A7" s="141">
        <v>16</v>
      </c>
      <c r="B7" s="141" t="b" cm="1">
        <f t="array" ref="B7">_xlfn.LET(
  _xlpm.ids, VALUE(_xlfn.TEXTSPLIT(SUBSTITUTE(A7,",",";"),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 s="142" t="s">
        <v>92</v>
      </c>
      <c r="D7" s="142" t="s">
        <v>109</v>
      </c>
      <c r="E7" s="38" t="s">
        <v>199</v>
      </c>
      <c r="F7" s="38" t="s">
        <v>469</v>
      </c>
      <c r="G7" s="38" t="s">
        <v>115</v>
      </c>
      <c r="H7" s="38"/>
      <c r="I7" s="15"/>
      <c r="J7" s="15"/>
      <c r="K7" s="15"/>
      <c r="L7" s="15"/>
      <c r="M7" s="15" t="s">
        <v>574</v>
      </c>
      <c r="N7" s="15" t="s">
        <v>244</v>
      </c>
    </row>
    <row r="8" spans="1:16" ht="15" customHeight="1" x14ac:dyDescent="0.25">
      <c r="A8" s="44">
        <v>23</v>
      </c>
      <c r="B8" s="44" t="b" cm="1">
        <f t="array" ref="B8">_xlfn.LET(
  _xlpm.ids, VALUE(_xlfn.TEXTSPLIT(SUBSTITUTE(A8,",",";"),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 s="103" t="s">
        <v>92</v>
      </c>
      <c r="D8" s="101" t="s">
        <v>104</v>
      </c>
      <c r="E8" s="28" t="s">
        <v>546</v>
      </c>
      <c r="F8" s="28" t="s">
        <v>671</v>
      </c>
      <c r="G8" s="28" t="s">
        <v>110</v>
      </c>
      <c r="H8" s="28"/>
      <c r="I8" s="10"/>
      <c r="J8" s="10"/>
      <c r="K8" s="10"/>
      <c r="L8" s="10"/>
      <c r="M8" s="10" t="s">
        <v>672</v>
      </c>
      <c r="N8" s="10" t="s">
        <v>506</v>
      </c>
    </row>
    <row r="9" spans="1:16" ht="15" customHeight="1" x14ac:dyDescent="0.25">
      <c r="A9" s="44">
        <v>23</v>
      </c>
      <c r="B9" s="44" t="b" cm="1">
        <f t="array" ref="B9">_xlfn.LET(
  _xlpm.ids, VALUE(_xlfn.TEXTSPLIT(SUBSTITUTE(A9,",",";"),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 s="103" t="s">
        <v>92</v>
      </c>
      <c r="D9" s="101" t="s">
        <v>104</v>
      </c>
      <c r="E9" s="28" t="s">
        <v>546</v>
      </c>
      <c r="F9" s="28" t="s">
        <v>671</v>
      </c>
      <c r="G9" s="28" t="s">
        <v>115</v>
      </c>
      <c r="H9" s="28"/>
      <c r="I9" s="10"/>
      <c r="J9" s="10"/>
      <c r="K9" s="10"/>
      <c r="L9" s="10"/>
      <c r="M9" s="10" t="s">
        <v>673</v>
      </c>
      <c r="N9" s="10" t="s">
        <v>506</v>
      </c>
      <c r="O9" s="28"/>
      <c r="P9" s="28"/>
    </row>
    <row r="10" spans="1:16" ht="15" customHeight="1" x14ac:dyDescent="0.25">
      <c r="A10" s="44">
        <v>23</v>
      </c>
      <c r="B10" s="44" t="b" cm="1">
        <f t="array" ref="B10">_xlfn.LET(
  _xlpm.ids, VALUE(_xlfn.TEXTSPLIT(SUBSTITUTE(A10,",",";"),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 s="103" t="s">
        <v>92</v>
      </c>
      <c r="D10" s="101" t="s">
        <v>104</v>
      </c>
      <c r="E10" s="28" t="s">
        <v>546</v>
      </c>
      <c r="F10" s="28" t="s">
        <v>671</v>
      </c>
      <c r="G10" s="28" t="s">
        <v>110</v>
      </c>
      <c r="H10" s="28"/>
      <c r="I10" s="10"/>
      <c r="J10" s="10"/>
      <c r="K10" s="10"/>
      <c r="L10" s="10"/>
      <c r="M10" s="10" t="s">
        <v>675</v>
      </c>
      <c r="N10" s="10" t="s">
        <v>506</v>
      </c>
      <c r="O10" s="28"/>
      <c r="P10" s="28"/>
    </row>
    <row r="11" spans="1:16" ht="15" customHeight="1" x14ac:dyDescent="0.25">
      <c r="A11" s="141">
        <v>12</v>
      </c>
      <c r="B11" s="141" t="b" cm="1">
        <f t="array" ref="B11">_xlfn.LET(
  _xlpm.ids, VALUE(_xlfn.TEXTSPLIT(SUBSTITUTE(A11,",",";"),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 s="142" t="s">
        <v>92</v>
      </c>
      <c r="D11" s="142" t="s">
        <v>109</v>
      </c>
      <c r="E11" s="38" t="s">
        <v>293</v>
      </c>
      <c r="F11" s="38" t="s">
        <v>105</v>
      </c>
      <c r="G11" s="38" t="s">
        <v>110</v>
      </c>
      <c r="H11" s="38" t="s">
        <v>200</v>
      </c>
      <c r="I11" s="15" t="s">
        <v>198</v>
      </c>
      <c r="J11" s="15"/>
      <c r="K11" s="15"/>
      <c r="L11" s="15"/>
      <c r="M11" s="15" t="s">
        <v>201</v>
      </c>
      <c r="N11" s="15" t="s">
        <v>202</v>
      </c>
      <c r="O11" s="38"/>
      <c r="P11" s="38"/>
    </row>
    <row r="12" spans="1:16" ht="15" customHeight="1" x14ac:dyDescent="0.25">
      <c r="A12" s="141">
        <v>12</v>
      </c>
      <c r="B12" s="141" t="b" cm="1">
        <f t="array" ref="B12">_xlfn.LET(
  _xlpm.ids, VALUE(_xlfn.TEXTSPLIT(SUBSTITUTE(A12,",",";"),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 s="142" t="s">
        <v>92</v>
      </c>
      <c r="D12" s="142" t="s">
        <v>109</v>
      </c>
      <c r="E12" s="38" t="s">
        <v>293</v>
      </c>
      <c r="F12" s="38" t="s">
        <v>105</v>
      </c>
      <c r="G12" s="28" t="s">
        <v>169</v>
      </c>
      <c r="H12" s="38"/>
      <c r="I12" s="15"/>
      <c r="J12" s="15"/>
      <c r="K12" s="15"/>
      <c r="L12" s="15"/>
      <c r="M12" s="15" t="s">
        <v>578</v>
      </c>
      <c r="N12" s="15" t="s">
        <v>202</v>
      </c>
    </row>
    <row r="13" spans="1:16" ht="15" customHeight="1" x14ac:dyDescent="0.25">
      <c r="A13" s="50">
        <v>12</v>
      </c>
      <c r="B13" s="50" t="b" cm="1">
        <f t="array" ref="B13">_xlfn.LET(
  _xlpm.ids, VALUE(_xlfn.TEXTSPLIT(SUBSTITUTE(A13,",",";"),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 s="101" t="s">
        <v>92</v>
      </c>
      <c r="D13" s="101" t="s">
        <v>109</v>
      </c>
      <c r="E13" s="28" t="s">
        <v>293</v>
      </c>
      <c r="F13" s="38" t="s">
        <v>105</v>
      </c>
      <c r="G13" s="28" t="s">
        <v>169</v>
      </c>
      <c r="H13" s="28"/>
      <c r="I13" s="10"/>
      <c r="J13" s="10"/>
      <c r="K13" s="10"/>
      <c r="L13" s="10"/>
      <c r="M13" s="10" t="s">
        <v>658</v>
      </c>
      <c r="N13" s="10" t="s">
        <v>202</v>
      </c>
      <c r="O13" s="28"/>
      <c r="P13" s="28"/>
    </row>
    <row r="14" spans="1:16" ht="15" customHeight="1" x14ac:dyDescent="0.25">
      <c r="A14" s="50">
        <v>12</v>
      </c>
      <c r="B14" s="50" t="b" cm="1">
        <f t="array" ref="B14">_xlfn.LET(
  _xlpm.ids, VALUE(_xlfn.TEXTSPLIT(SUBSTITUTE(A14,",",";"),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 s="101" t="s">
        <v>92</v>
      </c>
      <c r="D14" s="101" t="s">
        <v>109</v>
      </c>
      <c r="E14" s="28" t="s">
        <v>293</v>
      </c>
      <c r="F14" s="38" t="s">
        <v>105</v>
      </c>
      <c r="G14" s="28" t="s">
        <v>169</v>
      </c>
      <c r="H14" s="28"/>
      <c r="I14" s="10"/>
      <c r="J14" s="10"/>
      <c r="K14" s="10"/>
      <c r="L14" s="10"/>
      <c r="M14" s="10" t="s">
        <v>660</v>
      </c>
      <c r="N14" s="10" t="s">
        <v>202</v>
      </c>
      <c r="O14" s="28"/>
      <c r="P14" s="28"/>
    </row>
    <row r="15" spans="1:16" ht="15" customHeight="1" x14ac:dyDescent="0.25">
      <c r="A15" s="50">
        <v>11</v>
      </c>
      <c r="B15" s="50" t="b" cm="1">
        <f t="array" ref="B15">_xlfn.LET(
  _xlpm.ids, VALUE(_xlfn.TEXTSPLIT(SUBSTITUTE(A15,",",";"),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 s="101" t="s">
        <v>92</v>
      </c>
      <c r="D15" s="101" t="s">
        <v>109</v>
      </c>
      <c r="E15" s="28" t="s">
        <v>293</v>
      </c>
      <c r="F15" s="38" t="s">
        <v>105</v>
      </c>
      <c r="G15" s="28" t="s">
        <v>169</v>
      </c>
      <c r="H15" s="28"/>
      <c r="I15" s="10"/>
      <c r="J15" s="10"/>
      <c r="K15" s="10"/>
      <c r="L15" s="10"/>
      <c r="M15" s="10" t="s">
        <v>659</v>
      </c>
      <c r="N15" s="10" t="s">
        <v>313</v>
      </c>
      <c r="O15" s="28"/>
      <c r="P15" s="28"/>
    </row>
    <row r="16" spans="1:16" ht="15" customHeight="1" x14ac:dyDescent="0.25">
      <c r="A16" s="50">
        <v>12</v>
      </c>
      <c r="B16" s="50" t="b" cm="1">
        <f t="array" ref="B16">_xlfn.LET(
  _xlpm.ids, VALUE(_xlfn.TEXTSPLIT(SUBSTITUTE(A16,",",";"),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 s="101" t="s">
        <v>92</v>
      </c>
      <c r="D16" s="101" t="s">
        <v>109</v>
      </c>
      <c r="E16" s="28" t="s">
        <v>293</v>
      </c>
      <c r="F16" s="28" t="s">
        <v>105</v>
      </c>
      <c r="G16" s="109" t="s">
        <v>115</v>
      </c>
      <c r="H16" s="28"/>
      <c r="I16" s="10"/>
      <c r="J16" s="10"/>
      <c r="K16" s="10"/>
      <c r="L16" s="10"/>
      <c r="M16" s="10" t="s">
        <v>662</v>
      </c>
      <c r="N16" s="10" t="s">
        <v>202</v>
      </c>
      <c r="O16" s="28"/>
      <c r="P16" s="28"/>
    </row>
    <row r="17" spans="1:16" ht="15" customHeight="1" x14ac:dyDescent="0.25">
      <c r="A17" s="45">
        <v>26</v>
      </c>
      <c r="B17" s="45" t="b" cm="1">
        <f t="array" ref="B17">_xlfn.LET(
  _xlpm.ids, VALUE(_xlfn.TEXTSPLIT(SUBSTITUTE(A17,",",";"),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7" s="102" t="s">
        <v>92</v>
      </c>
      <c r="D17" s="104" t="s">
        <v>109</v>
      </c>
      <c r="F17" s="28" t="s">
        <v>105</v>
      </c>
      <c r="G17" s="109" t="s">
        <v>169</v>
      </c>
      <c r="I17" s="8"/>
      <c r="J17" s="8"/>
      <c r="K17" s="8"/>
      <c r="L17" s="8"/>
      <c r="M17" s="8" t="s">
        <v>170</v>
      </c>
      <c r="N17" s="8" t="s">
        <v>134</v>
      </c>
      <c r="O17" s="14" t="s">
        <v>169</v>
      </c>
    </row>
    <row r="18" spans="1:16" ht="15" customHeight="1" x14ac:dyDescent="0.25">
      <c r="A18" s="44">
        <v>26</v>
      </c>
      <c r="B18" s="44" t="b" cm="1">
        <f t="array" ref="B18">_xlfn.LET(
  _xlpm.ids, VALUE(_xlfn.TEXTSPLIT(SUBSTITUTE(A18,",",";"),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8" s="103" t="s">
        <v>92</v>
      </c>
      <c r="D18" s="101" t="s">
        <v>109</v>
      </c>
      <c r="E18" s="28"/>
      <c r="F18" s="28" t="s">
        <v>105</v>
      </c>
      <c r="G18" s="109" t="s">
        <v>169</v>
      </c>
      <c r="H18" s="28"/>
      <c r="I18" s="10"/>
      <c r="J18" s="10"/>
      <c r="K18" s="10"/>
      <c r="L18" s="10"/>
      <c r="M18" s="10" t="s">
        <v>171</v>
      </c>
      <c r="N18" s="10" t="s">
        <v>134</v>
      </c>
      <c r="O18" s="14" t="s">
        <v>169</v>
      </c>
    </row>
    <row r="19" spans="1:16" ht="15" customHeight="1" x14ac:dyDescent="0.25">
      <c r="A19" s="58">
        <v>9</v>
      </c>
      <c r="B19" s="58" t="b" cm="1">
        <f t="array" ref="B19">_xlfn.LET(
  _xlpm.ids, VALUE(_xlfn.TEXTSPLIT(SUBSTITUTE(A19,",",";"),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9" s="106" t="s">
        <v>92</v>
      </c>
      <c r="D19" s="106" t="s">
        <v>109</v>
      </c>
      <c r="E19" s="29"/>
      <c r="F19" s="29" t="s">
        <v>105</v>
      </c>
      <c r="G19" s="29" t="s">
        <v>110</v>
      </c>
      <c r="H19" s="29"/>
      <c r="I19" s="5"/>
      <c r="J19" s="5"/>
      <c r="K19" s="5"/>
      <c r="L19" s="5"/>
      <c r="M19" s="5" t="s">
        <v>111</v>
      </c>
      <c r="N19" s="5" t="s">
        <v>112</v>
      </c>
      <c r="O19" s="30"/>
      <c r="P19" s="30"/>
    </row>
    <row r="20" spans="1:16" ht="15" customHeight="1" x14ac:dyDescent="0.25">
      <c r="A20" s="50">
        <v>15</v>
      </c>
      <c r="B20" s="50" t="b" cm="1">
        <f t="array" ref="B20">_xlfn.LET(
  _xlpm.ids, VALUE(_xlfn.TEXTSPLIT(SUBSTITUTE(A20,",",";"),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0" s="101" t="s">
        <v>92</v>
      </c>
      <c r="D20" s="103" t="s">
        <v>109</v>
      </c>
      <c r="E20" s="10"/>
      <c r="F20" s="10" t="s">
        <v>105</v>
      </c>
      <c r="G20" s="10" t="s">
        <v>110</v>
      </c>
      <c r="H20" s="10"/>
      <c r="I20" s="4"/>
      <c r="J20" s="4"/>
      <c r="K20" s="4"/>
      <c r="L20" s="4"/>
      <c r="M20" s="4" t="s">
        <v>665</v>
      </c>
      <c r="N20" s="4" t="s">
        <v>153</v>
      </c>
      <c r="O20" s="28"/>
      <c r="P20" s="28"/>
    </row>
    <row r="21" spans="1:16" ht="15" customHeight="1" x14ac:dyDescent="0.25">
      <c r="A21" s="50">
        <v>15</v>
      </c>
      <c r="B21" s="50" t="b" cm="1">
        <f t="array" ref="B21">_xlfn.LET(
  _xlpm.ids, VALUE(_xlfn.TEXTSPLIT(SUBSTITUTE(A21,",",";"),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1" s="101" t="s">
        <v>92</v>
      </c>
      <c r="D21" s="103" t="s">
        <v>109</v>
      </c>
      <c r="E21" s="10"/>
      <c r="F21" s="10" t="s">
        <v>105</v>
      </c>
      <c r="G21" s="10" t="s">
        <v>666</v>
      </c>
      <c r="H21" s="10"/>
      <c r="I21" s="4"/>
      <c r="J21" s="4"/>
      <c r="K21" s="4"/>
      <c r="L21" s="4"/>
      <c r="M21" s="4" t="s">
        <v>667</v>
      </c>
      <c r="N21" s="4" t="s">
        <v>153</v>
      </c>
      <c r="O21" s="28"/>
      <c r="P21" s="28"/>
    </row>
    <row r="22" spans="1:16" ht="15" customHeight="1" x14ac:dyDescent="0.25">
      <c r="A22" s="143">
        <v>12</v>
      </c>
      <c r="B22" s="143" t="b" cm="1">
        <f t="array" ref="B22">_xlfn.LET(
  _xlpm.ids, VALUE(_xlfn.TEXTSPLIT(SUBSTITUTE(A22,",",";"),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2" s="144" t="s">
        <v>92</v>
      </c>
      <c r="D22" s="105" t="s">
        <v>104</v>
      </c>
      <c r="E22" s="145" t="s">
        <v>547</v>
      </c>
      <c r="F22" s="145" t="s">
        <v>105</v>
      </c>
      <c r="G22" s="145" t="s">
        <v>110</v>
      </c>
      <c r="H22" s="145"/>
      <c r="I22" s="146"/>
      <c r="J22" s="146"/>
      <c r="K22" s="146"/>
      <c r="L22" s="146"/>
      <c r="M22" s="146" t="s">
        <v>571</v>
      </c>
      <c r="N22" s="146" t="s">
        <v>202</v>
      </c>
      <c r="O22" s="145"/>
      <c r="P22" s="145"/>
    </row>
    <row r="23" spans="1:16" ht="15" customHeight="1" x14ac:dyDescent="0.25">
      <c r="A23" s="47">
        <v>21</v>
      </c>
      <c r="B23" s="47" t="b" cm="1">
        <f t="array" ref="B23">_xlfn.LET(
  _xlpm.ids, VALUE(_xlfn.TEXTSPLIT(SUBSTITUTE(A23,",",";"),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3" s="98" t="s">
        <v>92</v>
      </c>
      <c r="D23" s="98" t="s">
        <v>104</v>
      </c>
      <c r="E23" s="21"/>
      <c r="F23" s="21" t="s">
        <v>105</v>
      </c>
      <c r="G23" s="21"/>
      <c r="H23" s="21"/>
      <c r="I23" s="21"/>
      <c r="J23" s="21"/>
      <c r="K23" s="21"/>
      <c r="L23" s="21"/>
      <c r="M23" s="21" t="s">
        <v>106</v>
      </c>
      <c r="N23" s="21" t="s">
        <v>107</v>
      </c>
      <c r="O23" s="21"/>
      <c r="P23" s="21" t="s">
        <v>108</v>
      </c>
    </row>
    <row r="24" spans="1:16" ht="15" customHeight="1" x14ac:dyDescent="0.25">
      <c r="A24" s="59">
        <v>6</v>
      </c>
      <c r="B24" s="59" t="b" cm="1">
        <f t="array" ref="B24">_xlfn.LET(
  _xlpm.ids, VALUE(_xlfn.TEXTSPLIT(SUBSTITUTE(A24,",",";"),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4" s="107" t="s">
        <v>92</v>
      </c>
      <c r="D24" s="107"/>
      <c r="E24" s="31"/>
      <c r="F24" s="31" t="s">
        <v>105</v>
      </c>
      <c r="G24" s="31"/>
      <c r="H24" s="31"/>
      <c r="I24" s="6"/>
      <c r="J24" s="6"/>
      <c r="K24" s="6"/>
      <c r="L24" s="6"/>
      <c r="M24" s="6" t="s">
        <v>118</v>
      </c>
      <c r="N24" s="6" t="s">
        <v>119</v>
      </c>
      <c r="O24" s="31"/>
      <c r="P24" s="31"/>
    </row>
    <row r="25" spans="1:16" ht="15" customHeight="1" x14ac:dyDescent="0.25">
      <c r="A25" s="50" t="s">
        <v>1165</v>
      </c>
      <c r="B25" s="50" t="str" cm="1">
        <f t="array" ref="B25">_xlfn.LET(
  _xlpm.ids, VALUE(_xlfn.TEXTSPLIT(SUBSTITUTE(A25,",",";"),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25" s="101" t="s">
        <v>92</v>
      </c>
      <c r="D25" s="103" t="s">
        <v>109</v>
      </c>
      <c r="E25" s="10" t="s">
        <v>199</v>
      </c>
      <c r="F25" s="4" t="s">
        <v>562</v>
      </c>
      <c r="G25" s="10" t="s">
        <v>290</v>
      </c>
      <c r="H25" s="10"/>
      <c r="J25" s="4"/>
      <c r="K25" s="4"/>
      <c r="L25" s="4"/>
      <c r="M25" s="4" t="s">
        <v>563</v>
      </c>
      <c r="N25" s="4" t="s">
        <v>565</v>
      </c>
      <c r="O25" s="28"/>
    </row>
    <row r="26" spans="1:16" ht="15" customHeight="1" x14ac:dyDescent="0.25">
      <c r="A26" s="50">
        <v>8</v>
      </c>
      <c r="B26" s="50" t="b" cm="1">
        <f t="array" ref="B26">_xlfn.LET(
  _xlpm.ids, VALUE(_xlfn.TEXTSPLIT(SUBSTITUTE(A26,",",";"),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6" s="101" t="s">
        <v>92</v>
      </c>
      <c r="D26" s="101" t="s">
        <v>109</v>
      </c>
      <c r="E26" s="28" t="s">
        <v>293</v>
      </c>
      <c r="F26" s="4" t="s">
        <v>562</v>
      </c>
      <c r="G26" s="28" t="s">
        <v>569</v>
      </c>
      <c r="H26" s="28"/>
      <c r="I26" s="4"/>
      <c r="J26" s="4"/>
      <c r="K26" s="4"/>
      <c r="L26" s="4"/>
      <c r="M26" s="4" t="s">
        <v>570</v>
      </c>
      <c r="N26" s="4" t="s">
        <v>174</v>
      </c>
    </row>
    <row r="27" spans="1:16" ht="15" customHeight="1" x14ac:dyDescent="0.25">
      <c r="A27" s="50">
        <v>5</v>
      </c>
      <c r="B27" s="50" t="b" cm="1">
        <f t="array" ref="B27">_xlfn.LET(
  _xlpm.ids, VALUE(_xlfn.TEXTSPLIT(SUBSTITUTE(A27,",",";"),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7" s="101" t="s">
        <v>92</v>
      </c>
      <c r="D27" s="101" t="s">
        <v>109</v>
      </c>
      <c r="E27" s="28" t="s">
        <v>199</v>
      </c>
      <c r="F27" s="4" t="s">
        <v>562</v>
      </c>
      <c r="G27" s="109" t="s">
        <v>181</v>
      </c>
      <c r="H27" s="28"/>
      <c r="I27" s="4"/>
      <c r="J27" s="4"/>
      <c r="K27" s="4"/>
      <c r="L27" s="4"/>
      <c r="M27" s="4" t="s">
        <v>663</v>
      </c>
      <c r="N27" s="4" t="s">
        <v>157</v>
      </c>
      <c r="O27" s="28"/>
      <c r="P27" s="28"/>
    </row>
    <row r="28" spans="1:16" ht="15" customHeight="1" x14ac:dyDescent="0.25">
      <c r="A28" s="50">
        <v>5</v>
      </c>
      <c r="B28" s="50" t="b" cm="1">
        <f t="array" ref="B28">_xlfn.LET(
  _xlpm.ids, VALUE(_xlfn.TEXTSPLIT(SUBSTITUTE(A28,",",";"),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8" s="101" t="s">
        <v>92</v>
      </c>
      <c r="D28" s="101" t="s">
        <v>109</v>
      </c>
      <c r="E28" s="28" t="s">
        <v>199</v>
      </c>
      <c r="F28" s="4" t="s">
        <v>562</v>
      </c>
      <c r="G28" s="109" t="s">
        <v>181</v>
      </c>
      <c r="H28" s="28"/>
      <c r="I28" s="4"/>
      <c r="J28" s="4"/>
      <c r="K28" s="4"/>
      <c r="L28" s="4"/>
      <c r="M28" s="4" t="s">
        <v>664</v>
      </c>
      <c r="N28" s="4" t="s">
        <v>157</v>
      </c>
      <c r="O28" s="28"/>
      <c r="P28" s="28"/>
    </row>
    <row r="29" spans="1:16" ht="15" customHeight="1" x14ac:dyDescent="0.25">
      <c r="A29" s="50">
        <v>13</v>
      </c>
      <c r="B29" s="50" t="b" cm="1">
        <f t="array" ref="B29">_xlfn.LET(
  _xlpm.ids, VALUE(_xlfn.TEXTSPLIT(SUBSTITUTE(A29,",",";"),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9" s="101" t="s">
        <v>92</v>
      </c>
      <c r="D29" s="103" t="s">
        <v>104</v>
      </c>
      <c r="E29" s="10" t="s">
        <v>546</v>
      </c>
      <c r="F29" s="10" t="s">
        <v>575</v>
      </c>
      <c r="G29" s="10" t="s">
        <v>115</v>
      </c>
      <c r="H29" s="10" t="s">
        <v>136</v>
      </c>
      <c r="I29" s="4"/>
      <c r="J29" s="4"/>
      <c r="K29" s="4"/>
      <c r="L29" s="4"/>
      <c r="M29" s="4" t="s">
        <v>576</v>
      </c>
      <c r="N29" s="4" t="s">
        <v>151</v>
      </c>
      <c r="O29" s="28"/>
      <c r="P29" s="28"/>
    </row>
    <row r="30" spans="1:16" ht="15" customHeight="1" x14ac:dyDescent="0.25">
      <c r="A30" s="50">
        <v>8</v>
      </c>
      <c r="B30" s="50" t="b" cm="1">
        <f t="array" ref="B30">_xlfn.LET(
  _xlpm.ids, VALUE(_xlfn.TEXTSPLIT(SUBSTITUTE(A30,",",";"),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0" s="101" t="s">
        <v>92</v>
      </c>
      <c r="D30" s="101" t="s">
        <v>109</v>
      </c>
      <c r="E30" s="28"/>
      <c r="F30" s="28" t="s">
        <v>114</v>
      </c>
      <c r="G30" s="28" t="s">
        <v>115</v>
      </c>
      <c r="H30" s="28"/>
      <c r="I30" s="4"/>
      <c r="J30" s="4"/>
      <c r="K30" s="4"/>
      <c r="L30" s="4"/>
      <c r="M30" s="4" t="s">
        <v>173</v>
      </c>
      <c r="N30" s="4" t="s">
        <v>174</v>
      </c>
      <c r="O30" s="28"/>
      <c r="P30" s="28"/>
    </row>
    <row r="31" spans="1:16" ht="15" customHeight="1" x14ac:dyDescent="0.25">
      <c r="A31" s="50">
        <v>8</v>
      </c>
      <c r="B31" s="50" t="b" cm="1">
        <f t="array" ref="B31">_xlfn.LET(
  _xlpm.ids, VALUE(_xlfn.TEXTSPLIT(SUBSTITUTE(A31,",",";"),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1" s="101" t="s">
        <v>92</v>
      </c>
      <c r="D31" s="101" t="s">
        <v>109</v>
      </c>
      <c r="E31" s="28"/>
      <c r="F31" s="28" t="s">
        <v>114</v>
      </c>
      <c r="G31" s="28" t="s">
        <v>216</v>
      </c>
      <c r="H31" s="28"/>
      <c r="I31" s="4"/>
      <c r="J31" s="4"/>
      <c r="K31" s="4"/>
      <c r="L31" s="4"/>
      <c r="M31" s="4" t="s">
        <v>168</v>
      </c>
      <c r="N31" s="4" t="s">
        <v>174</v>
      </c>
    </row>
    <row r="32" spans="1:16" ht="15" customHeight="1" x14ac:dyDescent="0.25">
      <c r="A32" s="45" t="s">
        <v>183</v>
      </c>
      <c r="B32" s="45" t="b" cm="1">
        <f t="array" ref="B32">_xlfn.LET(
  _xlpm.ids, VALUE(_xlfn.TEXTSPLIT(SUBSTITUTE(A32,",",";"),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2" s="102" t="s">
        <v>92</v>
      </c>
      <c r="D32" s="103" t="s">
        <v>109</v>
      </c>
      <c r="F32" s="28" t="s">
        <v>114</v>
      </c>
      <c r="G32" s="14" t="s">
        <v>181</v>
      </c>
      <c r="I32" s="8"/>
      <c r="J32" s="8"/>
      <c r="K32" s="8"/>
      <c r="L32" s="8"/>
      <c r="M32" s="8" t="s">
        <v>182</v>
      </c>
      <c r="N32" s="8"/>
    </row>
    <row r="33" spans="1:16" ht="15" customHeight="1" x14ac:dyDescent="0.25">
      <c r="A33" s="50">
        <v>17</v>
      </c>
      <c r="B33" s="50" t="b" cm="1">
        <f t="array" ref="B33">_xlfn.LET(
  _xlpm.ids, VALUE(_xlfn.TEXTSPLIT(SUBSTITUTE(A33,",",";"),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3" s="101" t="s">
        <v>92</v>
      </c>
      <c r="D33" s="103" t="s">
        <v>1166</v>
      </c>
      <c r="E33" s="10" t="s">
        <v>547</v>
      </c>
      <c r="F33" s="10" t="s">
        <v>114</v>
      </c>
      <c r="G33" s="10" t="s">
        <v>115</v>
      </c>
      <c r="H33" s="10" t="s">
        <v>583</v>
      </c>
      <c r="I33" s="4"/>
      <c r="J33" s="4"/>
      <c r="K33" s="4"/>
      <c r="L33" s="4"/>
      <c r="M33" s="4" t="s">
        <v>677</v>
      </c>
      <c r="N33" s="4" t="s">
        <v>188</v>
      </c>
      <c r="O33" s="28"/>
      <c r="P33" s="28"/>
    </row>
    <row r="34" spans="1:16" ht="15" customHeight="1" x14ac:dyDescent="0.25">
      <c r="A34" s="50">
        <v>6</v>
      </c>
      <c r="B34" s="50" t="b" cm="1">
        <f t="array" ref="B34">_xlfn.LET(
  _xlpm.ids, VALUE(_xlfn.TEXTSPLIT(SUBSTITUTE(A34,",",";"),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4" s="101" t="s">
        <v>92</v>
      </c>
      <c r="D34" s="101" t="s">
        <v>1166</v>
      </c>
      <c r="E34" s="10" t="s">
        <v>582</v>
      </c>
      <c r="F34" s="14" t="s">
        <v>114</v>
      </c>
      <c r="G34" s="14" t="s">
        <v>181</v>
      </c>
      <c r="H34" s="14" t="s">
        <v>583</v>
      </c>
      <c r="I34" s="4"/>
      <c r="J34" s="4"/>
      <c r="K34" s="4"/>
      <c r="L34" s="4"/>
      <c r="M34" s="4" t="s">
        <v>584</v>
      </c>
      <c r="N34" s="4" t="s">
        <v>119</v>
      </c>
    </row>
    <row r="35" spans="1:16" ht="15" customHeight="1" x14ac:dyDescent="0.25">
      <c r="A35" s="50">
        <v>10</v>
      </c>
      <c r="B35" s="50" t="b" cm="1">
        <f t="array" ref="B35">_xlfn.LET(
  _xlpm.ids, VALUE(_xlfn.TEXTSPLIT(SUBSTITUTE(A35,",",";"),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5" s="101" t="s">
        <v>92</v>
      </c>
      <c r="D35" s="101" t="s">
        <v>109</v>
      </c>
      <c r="E35" s="28" t="s">
        <v>293</v>
      </c>
      <c r="F35" s="28" t="s">
        <v>555</v>
      </c>
      <c r="G35" s="28" t="s">
        <v>110</v>
      </c>
      <c r="H35" s="28"/>
      <c r="I35" s="10"/>
      <c r="J35" s="10"/>
      <c r="K35" s="10"/>
      <c r="L35" s="10"/>
      <c r="M35" s="10" t="s">
        <v>661</v>
      </c>
      <c r="N35" s="10" t="s">
        <v>148</v>
      </c>
      <c r="O35" s="28"/>
      <c r="P35" s="28"/>
    </row>
    <row r="36" spans="1:16" ht="15" customHeight="1" x14ac:dyDescent="0.25">
      <c r="A36" s="50">
        <v>6</v>
      </c>
      <c r="B36" s="50" t="b" cm="1">
        <f t="array" ref="B36">_xlfn.LET(
  _xlpm.ids, VALUE(_xlfn.TEXTSPLIT(SUBSTITUTE(A36,",",";"),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6" s="101" t="s">
        <v>92</v>
      </c>
      <c r="D36" s="101" t="s">
        <v>1166</v>
      </c>
      <c r="E36" s="8" t="s">
        <v>546</v>
      </c>
      <c r="F36" s="28" t="s">
        <v>555</v>
      </c>
      <c r="G36" s="28" t="s">
        <v>179</v>
      </c>
      <c r="H36" s="28"/>
      <c r="I36" s="4"/>
      <c r="J36" s="4"/>
      <c r="K36" s="4"/>
      <c r="L36" s="4"/>
      <c r="M36" s="4" t="s">
        <v>560</v>
      </c>
      <c r="N36" s="4" t="s">
        <v>119</v>
      </c>
      <c r="O36" s="28"/>
    </row>
    <row r="37" spans="1:16" ht="15" customHeight="1" x14ac:dyDescent="0.25">
      <c r="A37" s="44">
        <v>23</v>
      </c>
      <c r="B37" s="44" t="b" cm="1">
        <f t="array" ref="B37">_xlfn.LET(
  _xlpm.ids, VALUE(_xlfn.TEXTSPLIT(SUBSTITUTE(A37,",",";"),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7" s="103" t="s">
        <v>92</v>
      </c>
      <c r="D37" s="101" t="s">
        <v>104</v>
      </c>
      <c r="E37" s="28" t="s">
        <v>546</v>
      </c>
      <c r="F37" s="28" t="s">
        <v>555</v>
      </c>
      <c r="G37" s="28" t="s">
        <v>110</v>
      </c>
      <c r="H37" s="28"/>
      <c r="I37" s="10"/>
      <c r="J37" s="10"/>
      <c r="K37" s="10"/>
      <c r="L37" s="10"/>
      <c r="M37" s="10" t="s">
        <v>674</v>
      </c>
      <c r="N37" s="10" t="s">
        <v>205</v>
      </c>
      <c r="O37" s="28"/>
      <c r="P37" s="28"/>
    </row>
    <row r="38" spans="1:16" ht="15" customHeight="1" x14ac:dyDescent="0.25">
      <c r="A38" s="50">
        <v>13</v>
      </c>
      <c r="B38" s="50" t="b" cm="1">
        <f t="array" ref="B38">_xlfn.LET(
  _xlpm.ids, VALUE(_xlfn.TEXTSPLIT(SUBSTITUTE(A38,",",";"),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8" s="101" t="s">
        <v>92</v>
      </c>
      <c r="D38" s="103" t="s">
        <v>104</v>
      </c>
      <c r="E38" s="10" t="s">
        <v>546</v>
      </c>
      <c r="F38" s="10"/>
      <c r="G38" s="10" t="s">
        <v>115</v>
      </c>
      <c r="H38" s="10" t="s">
        <v>136</v>
      </c>
      <c r="I38" s="4"/>
      <c r="J38" s="4"/>
      <c r="K38" s="4"/>
      <c r="L38" s="4"/>
      <c r="M38" s="4" t="s">
        <v>577</v>
      </c>
      <c r="N38" s="4" t="s">
        <v>151</v>
      </c>
      <c r="O38" s="28"/>
      <c r="P38" s="28"/>
    </row>
  </sheetData>
  <autoFilter ref="A1:P38" xr:uid="{91EB663D-CDD8-544E-BEAB-EC26E257578F}">
    <sortState xmlns:xlrd2="http://schemas.microsoft.com/office/spreadsheetml/2017/richdata2" ref="A2:P38">
      <sortCondition ref="F1:F38"/>
    </sortState>
  </autoFilter>
  <sortState xmlns:xlrd2="http://schemas.microsoft.com/office/spreadsheetml/2017/richdata2" ref="A2:P4">
    <sortCondition ref="M2:M4"/>
  </sortState>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ACCBC-099D-8E45-93B3-F5D581E91A58}">
  <dimension ref="A1:P69"/>
  <sheetViews>
    <sheetView workbookViewId="0">
      <pane ySplit="1" topLeftCell="A44" activePane="bottomLeft" state="frozen"/>
      <selection activeCell="D5" sqref="D5"/>
      <selection pane="bottomLeft" activeCell="D5" sqref="D5"/>
    </sheetView>
  </sheetViews>
  <sheetFormatPr defaultColWidth="11" defaultRowHeight="15" customHeight="1" x14ac:dyDescent="0.25"/>
  <cols>
    <col min="1" max="1" width="9.875" style="48" customWidth="1"/>
    <col min="2" max="3" width="10.125" style="48" customWidth="1"/>
    <col min="4" max="9" width="18.375" style="14" customWidth="1"/>
    <col min="10" max="10" width="52.125" style="14" customWidth="1"/>
    <col min="11" max="16" width="18.375" style="14" customWidth="1"/>
    <col min="17" max="16384" width="11" style="14"/>
  </cols>
  <sheetData>
    <row r="1" spans="1:16" ht="39.75" customHeight="1" x14ac:dyDescent="0.25">
      <c r="A1" s="43" t="s">
        <v>0</v>
      </c>
      <c r="B1" s="43" t="s">
        <v>1160</v>
      </c>
      <c r="C1" s="43" t="s">
        <v>78</v>
      </c>
      <c r="D1" s="1" t="s">
        <v>79</v>
      </c>
      <c r="E1" s="1" t="s">
        <v>80</v>
      </c>
      <c r="F1" s="1" t="s">
        <v>81</v>
      </c>
      <c r="G1" s="1" t="s">
        <v>82</v>
      </c>
      <c r="H1" s="1" t="s">
        <v>1167</v>
      </c>
      <c r="I1" s="1" t="s">
        <v>77</v>
      </c>
      <c r="J1" s="1" t="s">
        <v>84</v>
      </c>
      <c r="K1" s="1" t="s">
        <v>88</v>
      </c>
      <c r="L1" s="1" t="s">
        <v>5</v>
      </c>
      <c r="M1" s="1" t="s">
        <v>1163</v>
      </c>
      <c r="N1" s="1" t="s">
        <v>1161</v>
      </c>
      <c r="O1" s="1" t="s">
        <v>1162</v>
      </c>
      <c r="P1" s="1" t="s">
        <v>86</v>
      </c>
    </row>
    <row r="2" spans="1:16" ht="15" customHeight="1" x14ac:dyDescent="0.25">
      <c r="A2" s="45">
        <v>27</v>
      </c>
      <c r="B2" s="45" t="b" cm="1">
        <f t="array" ref="B2">_xlfn.LET(
  _xlpm.ids, VALUE(_xlfn.TEXTSPLIT(SUBSTITUTE(A2,",",";"),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 s="45" t="s">
        <v>99</v>
      </c>
      <c r="D2" s="8" t="s">
        <v>390</v>
      </c>
      <c r="E2" s="8" t="s">
        <v>1168</v>
      </c>
      <c r="F2" s="8"/>
      <c r="G2" s="8" t="s">
        <v>216</v>
      </c>
      <c r="H2" s="8"/>
      <c r="I2" s="8"/>
      <c r="J2" s="8" t="s">
        <v>392</v>
      </c>
      <c r="K2" s="8"/>
      <c r="L2" s="8"/>
      <c r="M2" s="8"/>
    </row>
    <row r="3" spans="1:16" ht="15" customHeight="1" x14ac:dyDescent="0.25">
      <c r="A3" s="45">
        <v>23</v>
      </c>
      <c r="B3" s="45" t="b" cm="1">
        <f t="array" ref="B3">_xlfn.LET(
  _xlpm.ids, VALUE(_xlfn.TEXTSPLIT(SUBSTITUTE(A3,",",";"),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 s="45" t="s">
        <v>99</v>
      </c>
      <c r="D3" s="8" t="s">
        <v>390</v>
      </c>
      <c r="E3" s="8" t="s">
        <v>1169</v>
      </c>
      <c r="F3" s="8"/>
      <c r="G3" s="8" t="s">
        <v>285</v>
      </c>
      <c r="H3" s="8"/>
      <c r="I3" s="8"/>
      <c r="J3" s="8" t="s">
        <v>800</v>
      </c>
      <c r="K3" s="8" t="s">
        <v>801</v>
      </c>
      <c r="L3" s="8"/>
      <c r="M3" s="10"/>
    </row>
    <row r="4" spans="1:16" ht="15" customHeight="1" x14ac:dyDescent="0.25">
      <c r="A4" s="45">
        <v>23</v>
      </c>
      <c r="B4" s="45" t="b" cm="1">
        <f t="array" ref="B4">_xlfn.LET(
  _xlpm.ids, VALUE(_xlfn.TEXTSPLIT(SUBSTITUTE(A4,",",";"),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 s="45" t="s">
        <v>99</v>
      </c>
      <c r="D4" s="8" t="s">
        <v>390</v>
      </c>
      <c r="E4" s="8" t="s">
        <v>1169</v>
      </c>
      <c r="F4" s="8"/>
      <c r="G4" s="8" t="s">
        <v>115</v>
      </c>
      <c r="H4" s="8"/>
      <c r="I4" s="8"/>
      <c r="J4" s="8" t="s">
        <v>794</v>
      </c>
      <c r="K4" s="8" t="s">
        <v>795</v>
      </c>
      <c r="L4" s="8"/>
      <c r="M4" s="8" t="s">
        <v>476</v>
      </c>
    </row>
    <row r="5" spans="1:16" ht="15" customHeight="1" x14ac:dyDescent="0.25">
      <c r="A5" s="45">
        <v>27</v>
      </c>
      <c r="B5" s="45" t="b" cm="1">
        <f t="array" ref="B5">_xlfn.LET(
  _xlpm.ids, VALUE(_xlfn.TEXTSPLIT(SUBSTITUTE(A5,",",";"),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 s="45" t="s">
        <v>99</v>
      </c>
      <c r="D5" s="8" t="s">
        <v>390</v>
      </c>
      <c r="E5" s="8" t="s">
        <v>1170</v>
      </c>
      <c r="F5" s="8"/>
      <c r="G5" s="8" t="s">
        <v>110</v>
      </c>
      <c r="H5" s="8"/>
      <c r="I5" s="8"/>
      <c r="J5" s="8" t="s">
        <v>792</v>
      </c>
      <c r="K5" s="8"/>
      <c r="L5" s="8"/>
      <c r="M5" s="10"/>
    </row>
    <row r="6" spans="1:16" ht="15" customHeight="1" x14ac:dyDescent="0.25">
      <c r="A6" s="44">
        <v>6</v>
      </c>
      <c r="B6" s="44" t="b" cm="1">
        <f t="array" ref="B6">_xlfn.LET(
  _xlpm.ids, VALUE(_xlfn.TEXTSPLIT(SUBSTITUTE(A6,",",";"),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 s="44" t="s">
        <v>99</v>
      </c>
      <c r="D6" s="10" t="s">
        <v>1171</v>
      </c>
      <c r="E6" s="8" t="s">
        <v>546</v>
      </c>
      <c r="F6" s="8"/>
      <c r="G6" s="10" t="s">
        <v>216</v>
      </c>
      <c r="H6" s="10"/>
      <c r="I6" s="10"/>
      <c r="J6" s="10" t="s">
        <v>689</v>
      </c>
      <c r="K6" s="10" t="s">
        <v>119</v>
      </c>
      <c r="L6" s="10"/>
      <c r="M6" s="10"/>
    </row>
    <row r="7" spans="1:16" ht="15" customHeight="1" x14ac:dyDescent="0.25">
      <c r="A7" s="44">
        <v>6</v>
      </c>
      <c r="B7" s="44" t="b" cm="1">
        <f t="array" ref="B7">_xlfn.LET(
  _xlpm.ids, VALUE(_xlfn.TEXTSPLIT(SUBSTITUTE(A7,",",";"),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 s="44" t="s">
        <v>99</v>
      </c>
      <c r="D7" s="10" t="s">
        <v>1171</v>
      </c>
      <c r="E7" s="8" t="s">
        <v>546</v>
      </c>
      <c r="F7" s="8"/>
      <c r="G7" s="10" t="s">
        <v>231</v>
      </c>
      <c r="H7" s="10"/>
      <c r="I7" s="10"/>
      <c r="J7" s="10" t="s">
        <v>690</v>
      </c>
      <c r="K7" s="10" t="s">
        <v>119</v>
      </c>
      <c r="L7" s="10"/>
      <c r="M7" s="8"/>
    </row>
    <row r="8" spans="1:16" ht="15" customHeight="1" x14ac:dyDescent="0.25">
      <c r="A8" s="45" t="s">
        <v>190</v>
      </c>
      <c r="B8" s="45" t="b" cm="1">
        <f t="array" ref="B8">_xlfn.LET(
  _xlpm.ids, VALUE(_xlfn.TEXTSPLIT(SUBSTITUTE(A8,",",";"),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8" s="45" t="s">
        <v>99</v>
      </c>
      <c r="D8" s="8" t="s">
        <v>104</v>
      </c>
      <c r="E8" s="8" t="s">
        <v>546</v>
      </c>
      <c r="F8" s="8"/>
      <c r="G8" s="8" t="s">
        <v>295</v>
      </c>
      <c r="H8" s="8"/>
      <c r="I8" s="8"/>
      <c r="J8" s="10" t="s">
        <v>553</v>
      </c>
      <c r="K8" s="10" t="s">
        <v>554</v>
      </c>
      <c r="L8" s="8"/>
      <c r="M8" s="10"/>
    </row>
    <row r="9" spans="1:16" ht="15" customHeight="1" x14ac:dyDescent="0.25">
      <c r="A9" s="45" t="s">
        <v>190</v>
      </c>
      <c r="B9" s="45" t="b" cm="1">
        <f t="array" ref="B9">_xlfn.LET(
  _xlpm.ids, VALUE(_xlfn.TEXTSPLIT(SUBSTITUTE(A9,",",";"),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9" s="45" t="s">
        <v>99</v>
      </c>
      <c r="D9" s="8" t="s">
        <v>104</v>
      </c>
      <c r="E9" s="8" t="s">
        <v>546</v>
      </c>
      <c r="F9" s="8"/>
      <c r="G9" s="8" t="s">
        <v>110</v>
      </c>
      <c r="H9" s="8"/>
      <c r="I9" s="8"/>
      <c r="J9" s="10" t="s">
        <v>556</v>
      </c>
      <c r="K9" s="10" t="s">
        <v>263</v>
      </c>
      <c r="L9" s="8"/>
      <c r="M9" s="10"/>
    </row>
    <row r="10" spans="1:16" ht="15" customHeight="1" x14ac:dyDescent="0.25">
      <c r="A10" s="45" t="s">
        <v>190</v>
      </c>
      <c r="B10" s="45" t="b" cm="1">
        <f t="array" ref="B10">_xlfn.LET(
  _xlpm.ids, VALUE(_xlfn.TEXTSPLIT(SUBSTITUTE(A10,",",";"),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0" s="45" t="s">
        <v>99</v>
      </c>
      <c r="D10" s="8" t="s">
        <v>104</v>
      </c>
      <c r="E10" s="8" t="s">
        <v>546</v>
      </c>
      <c r="F10" s="8"/>
      <c r="G10" s="10" t="s">
        <v>295</v>
      </c>
      <c r="H10" s="10"/>
      <c r="I10" s="10"/>
      <c r="J10" s="10" t="s">
        <v>557</v>
      </c>
      <c r="K10" s="10" t="s">
        <v>263</v>
      </c>
      <c r="L10" s="8"/>
      <c r="M10" s="10"/>
    </row>
    <row r="11" spans="1:16" ht="15" customHeight="1" x14ac:dyDescent="0.25">
      <c r="A11" s="55">
        <v>12</v>
      </c>
      <c r="B11" s="55" t="b" cm="1">
        <f t="array" ref="B11">_xlfn.LET(
  _xlpm.ids, VALUE(_xlfn.TEXTSPLIT(SUBSTITUTE(A11,",",";"),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 s="55" t="s">
        <v>99</v>
      </c>
      <c r="D11" s="15" t="s">
        <v>1171</v>
      </c>
      <c r="E11" s="15" t="s">
        <v>547</v>
      </c>
      <c r="F11" s="15"/>
      <c r="G11" s="15" t="s">
        <v>687</v>
      </c>
      <c r="H11" s="15"/>
      <c r="I11" s="15"/>
      <c r="J11" s="15" t="s">
        <v>688</v>
      </c>
      <c r="K11" s="15" t="s">
        <v>202</v>
      </c>
      <c r="L11" s="15"/>
      <c r="M11" s="10"/>
    </row>
    <row r="12" spans="1:16" ht="15" customHeight="1" x14ac:dyDescent="0.25">
      <c r="A12" s="45" t="s">
        <v>190</v>
      </c>
      <c r="B12" s="45" t="b" cm="1">
        <f t="array" ref="B12">_xlfn.LET(
  _xlpm.ids, VALUE(_xlfn.TEXTSPLIT(SUBSTITUTE(A12,",",";"),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2" s="45" t="s">
        <v>99</v>
      </c>
      <c r="D12" s="8" t="s">
        <v>390</v>
      </c>
      <c r="E12" s="8" t="s">
        <v>546</v>
      </c>
      <c r="F12" s="8"/>
      <c r="G12" s="8" t="s">
        <v>115</v>
      </c>
      <c r="H12" s="8"/>
      <c r="I12" s="8"/>
      <c r="J12" s="10" t="s">
        <v>691</v>
      </c>
      <c r="K12" s="10" t="s">
        <v>554</v>
      </c>
      <c r="L12" s="8"/>
      <c r="M12" s="15"/>
    </row>
    <row r="13" spans="1:16" ht="15" customHeight="1" x14ac:dyDescent="0.25">
      <c r="A13" s="44">
        <v>6</v>
      </c>
      <c r="B13" s="44" t="b" cm="1">
        <f t="array" ref="B13">_xlfn.LET(
  _xlpm.ids, VALUE(_xlfn.TEXTSPLIT(SUBSTITUTE(A13,",",";"),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3" s="44" t="s">
        <v>99</v>
      </c>
      <c r="D13" s="10" t="s">
        <v>1171</v>
      </c>
      <c r="E13" s="8" t="s">
        <v>546</v>
      </c>
      <c r="F13" s="8"/>
      <c r="G13" s="10" t="s">
        <v>115</v>
      </c>
      <c r="H13" s="10"/>
      <c r="I13" s="10"/>
      <c r="J13" s="10" t="s">
        <v>691</v>
      </c>
      <c r="K13" s="10" t="s">
        <v>119</v>
      </c>
      <c r="L13" s="10"/>
      <c r="M13" s="8"/>
    </row>
    <row r="14" spans="1:16" ht="15" customHeight="1" x14ac:dyDescent="0.25">
      <c r="A14" s="44">
        <v>6</v>
      </c>
      <c r="B14" s="44" t="b" cm="1">
        <f t="array" ref="B14">_xlfn.LET(
  _xlpm.ids, VALUE(_xlfn.TEXTSPLIT(SUBSTITUTE(A14,",",";"),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4" s="44" t="s">
        <v>99</v>
      </c>
      <c r="D14" s="10" t="s">
        <v>1171</v>
      </c>
      <c r="E14" s="8" t="s">
        <v>546</v>
      </c>
      <c r="F14" s="8"/>
      <c r="G14" s="10" t="s">
        <v>216</v>
      </c>
      <c r="H14" s="10"/>
      <c r="I14" s="10"/>
      <c r="J14" s="10" t="s">
        <v>692</v>
      </c>
      <c r="K14" s="10" t="s">
        <v>119</v>
      </c>
      <c r="L14" s="10"/>
      <c r="M14" s="10"/>
    </row>
    <row r="15" spans="1:16" ht="15" customHeight="1" x14ac:dyDescent="0.25">
      <c r="A15" s="44">
        <v>6</v>
      </c>
      <c r="B15" s="44" t="b" cm="1">
        <f t="array" ref="B15">_xlfn.LET(
  _xlpm.ids, VALUE(_xlfn.TEXTSPLIT(SUBSTITUTE(A15,",",";"),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 s="44" t="s">
        <v>99</v>
      </c>
      <c r="D15" s="10" t="s">
        <v>1171</v>
      </c>
      <c r="E15" s="8" t="s">
        <v>546</v>
      </c>
      <c r="F15" s="8"/>
      <c r="G15" s="10" t="s">
        <v>216</v>
      </c>
      <c r="H15" s="10"/>
      <c r="I15" s="10"/>
      <c r="J15" s="10" t="s">
        <v>693</v>
      </c>
      <c r="K15" s="10" t="s">
        <v>119</v>
      </c>
      <c r="L15" s="10"/>
      <c r="M15" s="10"/>
    </row>
    <row r="16" spans="1:16" ht="15" customHeight="1" x14ac:dyDescent="0.25">
      <c r="A16" s="45">
        <v>1</v>
      </c>
      <c r="B16" s="45" t="b" cm="1">
        <f t="array" ref="B16">_xlfn.LET(
  _xlpm.ids, VALUE(_xlfn.TEXTSPLIT(SUBSTITUTE(A16,",",";"),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6" s="45" t="s">
        <v>99</v>
      </c>
      <c r="D16" s="8" t="s">
        <v>390</v>
      </c>
      <c r="E16" s="8" t="s">
        <v>546</v>
      </c>
      <c r="F16" s="8"/>
      <c r="G16" s="8" t="s">
        <v>179</v>
      </c>
      <c r="H16" s="8"/>
      <c r="I16" s="8"/>
      <c r="J16" s="10" t="s">
        <v>694</v>
      </c>
      <c r="K16" s="10" t="s">
        <v>263</v>
      </c>
      <c r="L16" s="8"/>
      <c r="M16" s="10"/>
    </row>
    <row r="17" spans="1:13" ht="15" customHeight="1" x14ac:dyDescent="0.25">
      <c r="A17" s="44">
        <v>6</v>
      </c>
      <c r="B17" s="44" t="b" cm="1">
        <f t="array" ref="B17">_xlfn.LET(
  _xlpm.ids, VALUE(_xlfn.TEXTSPLIT(SUBSTITUTE(A17,",",";"),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7" s="44" t="s">
        <v>99</v>
      </c>
      <c r="D17" s="10" t="s">
        <v>1171</v>
      </c>
      <c r="E17" s="8" t="s">
        <v>546</v>
      </c>
      <c r="F17" s="8"/>
      <c r="G17" s="10" t="s">
        <v>695</v>
      </c>
      <c r="H17" s="10"/>
      <c r="I17" s="10"/>
      <c r="J17" s="10" t="s">
        <v>696</v>
      </c>
      <c r="K17" s="10" t="s">
        <v>119</v>
      </c>
      <c r="L17" s="10"/>
      <c r="M17" s="15"/>
    </row>
    <row r="18" spans="1:13" ht="15" customHeight="1" x14ac:dyDescent="0.25">
      <c r="A18" s="44">
        <v>6</v>
      </c>
      <c r="B18" s="44" t="b" cm="1">
        <f t="array" ref="B18">_xlfn.LET(
  _xlpm.ids, VALUE(_xlfn.TEXTSPLIT(SUBSTITUTE(A18,",",";"),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8" s="44" t="s">
        <v>99</v>
      </c>
      <c r="D18" s="10" t="s">
        <v>1171</v>
      </c>
      <c r="E18" s="8" t="s">
        <v>546</v>
      </c>
      <c r="F18" s="8"/>
      <c r="G18" s="10" t="s">
        <v>179</v>
      </c>
      <c r="H18" s="10"/>
      <c r="I18" s="10"/>
      <c r="J18" s="10" t="s">
        <v>697</v>
      </c>
      <c r="K18" s="10" t="s">
        <v>119</v>
      </c>
      <c r="L18" s="10"/>
    </row>
    <row r="19" spans="1:13" ht="15" customHeight="1" x14ac:dyDescent="0.25">
      <c r="A19" s="45">
        <v>1</v>
      </c>
      <c r="B19" s="45" t="b" cm="1">
        <f t="array" ref="B19">_xlfn.LET(
  _xlpm.ids, VALUE(_xlfn.TEXTSPLIT(SUBSTITUTE(A19,",",";"),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9" s="45" t="s">
        <v>99</v>
      </c>
      <c r="D19" s="8" t="s">
        <v>104</v>
      </c>
      <c r="E19" s="8" t="s">
        <v>546</v>
      </c>
      <c r="F19" s="8"/>
      <c r="G19" s="8" t="s">
        <v>179</v>
      </c>
      <c r="H19" s="8"/>
      <c r="I19" s="8"/>
      <c r="J19" s="10" t="s">
        <v>567</v>
      </c>
      <c r="K19" s="10" t="s">
        <v>263</v>
      </c>
      <c r="L19" s="8"/>
      <c r="M19" s="10"/>
    </row>
    <row r="20" spans="1:13" ht="15" customHeight="1" x14ac:dyDescent="0.25">
      <c r="A20" s="45" t="s">
        <v>190</v>
      </c>
      <c r="B20" s="45" t="b" cm="1">
        <f t="array" ref="B20">_xlfn.LET(
  _xlpm.ids, VALUE(_xlfn.TEXTSPLIT(SUBSTITUTE(A20,",",";"),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0" s="45" t="s">
        <v>99</v>
      </c>
      <c r="D20" s="8" t="s">
        <v>390</v>
      </c>
      <c r="E20" s="8" t="s">
        <v>546</v>
      </c>
      <c r="F20" s="8"/>
      <c r="G20" s="8" t="s">
        <v>216</v>
      </c>
      <c r="H20" s="8"/>
      <c r="I20" s="8"/>
      <c r="J20" s="10" t="s">
        <v>698</v>
      </c>
      <c r="K20" s="10" t="s">
        <v>554</v>
      </c>
      <c r="L20" s="8"/>
      <c r="M20" s="8"/>
    </row>
    <row r="21" spans="1:13" ht="15" customHeight="1" x14ac:dyDescent="0.25">
      <c r="A21" s="45">
        <v>1</v>
      </c>
      <c r="B21" s="45" t="b" cm="1">
        <f t="array" ref="B21">_xlfn.LET(
  _xlpm.ids, VALUE(_xlfn.TEXTSPLIT(SUBSTITUTE(A21,",",";"),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1" s="45" t="s">
        <v>99</v>
      </c>
      <c r="D21" s="8" t="s">
        <v>104</v>
      </c>
      <c r="E21" s="8" t="s">
        <v>546</v>
      </c>
      <c r="F21" s="8"/>
      <c r="G21" s="8" t="s">
        <v>115</v>
      </c>
      <c r="H21" s="8"/>
      <c r="I21" s="8"/>
      <c r="J21" s="10" t="s">
        <v>568</v>
      </c>
      <c r="K21" s="10" t="s">
        <v>263</v>
      </c>
      <c r="L21" s="8"/>
      <c r="M21" s="10"/>
    </row>
    <row r="22" spans="1:13" ht="15" customHeight="1" x14ac:dyDescent="0.25">
      <c r="A22" s="44">
        <v>6</v>
      </c>
      <c r="B22" s="44" t="b" cm="1">
        <f t="array" ref="B22">_xlfn.LET(
  _xlpm.ids, VALUE(_xlfn.TEXTSPLIT(SUBSTITUTE(A22,",",";"),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2" s="44" t="s">
        <v>99</v>
      </c>
      <c r="D22" s="10" t="s">
        <v>1171</v>
      </c>
      <c r="E22" s="8" t="s">
        <v>546</v>
      </c>
      <c r="F22" s="8"/>
      <c r="G22" s="10" t="s">
        <v>115</v>
      </c>
      <c r="H22" s="10"/>
      <c r="I22" s="10"/>
      <c r="J22" s="10" t="s">
        <v>699</v>
      </c>
      <c r="K22" s="10" t="s">
        <v>119</v>
      </c>
      <c r="L22" s="10"/>
      <c r="M22" s="8"/>
    </row>
    <row r="23" spans="1:13" ht="15" customHeight="1" x14ac:dyDescent="0.25">
      <c r="A23" s="44">
        <v>21</v>
      </c>
      <c r="B23" s="44" t="b" cm="1">
        <f t="array" ref="B23">_xlfn.LET(
  _xlpm.ids, VALUE(_xlfn.TEXTSPLIT(SUBSTITUTE(A23,",",";"),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3" s="44" t="s">
        <v>99</v>
      </c>
      <c r="D23" s="10" t="s">
        <v>390</v>
      </c>
      <c r="E23" s="10" t="s">
        <v>546</v>
      </c>
      <c r="F23" s="10"/>
      <c r="G23" s="10" t="s">
        <v>216</v>
      </c>
      <c r="H23" s="10"/>
      <c r="I23" s="10"/>
      <c r="J23" s="10" t="s">
        <v>700</v>
      </c>
      <c r="K23" s="10" t="s">
        <v>107</v>
      </c>
      <c r="L23" s="10"/>
      <c r="M23" s="10"/>
    </row>
    <row r="24" spans="1:13" ht="15" customHeight="1" x14ac:dyDescent="0.25">
      <c r="A24" s="44">
        <v>6</v>
      </c>
      <c r="B24" s="44" t="b" cm="1">
        <f t="array" ref="B24">_xlfn.LET(
  _xlpm.ids, VALUE(_xlfn.TEXTSPLIT(SUBSTITUTE(A24,",",";"),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4" s="44" t="s">
        <v>99</v>
      </c>
      <c r="D24" s="10" t="s">
        <v>1171</v>
      </c>
      <c r="E24" s="8" t="s">
        <v>546</v>
      </c>
      <c r="F24" s="8"/>
      <c r="G24" s="10" t="s">
        <v>115</v>
      </c>
      <c r="H24" s="10"/>
      <c r="I24" s="10"/>
      <c r="J24" s="10" t="s">
        <v>701</v>
      </c>
      <c r="K24" s="10" t="s">
        <v>119</v>
      </c>
      <c r="L24" s="10"/>
      <c r="M24" s="10"/>
    </row>
    <row r="25" spans="1:13" ht="15" customHeight="1" x14ac:dyDescent="0.25">
      <c r="A25" s="45">
        <v>27</v>
      </c>
      <c r="B25" s="45" t="b" cm="1">
        <f t="array" ref="B25">_xlfn.LET(
  _xlpm.ids, VALUE(_xlfn.TEXTSPLIT(SUBSTITUTE(A25,",",";"),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5" s="45" t="s">
        <v>99</v>
      </c>
      <c r="D25" s="8" t="s">
        <v>390</v>
      </c>
      <c r="E25" s="8" t="s">
        <v>546</v>
      </c>
      <c r="F25" s="8"/>
      <c r="G25" s="8" t="s">
        <v>275</v>
      </c>
      <c r="H25" s="8"/>
      <c r="I25" s="8"/>
      <c r="J25" s="8" t="s">
        <v>548</v>
      </c>
      <c r="K25" s="8"/>
      <c r="L25" s="8"/>
      <c r="M25" s="10"/>
    </row>
    <row r="26" spans="1:13" ht="15" customHeight="1" x14ac:dyDescent="0.25">
      <c r="A26" s="44">
        <v>13</v>
      </c>
      <c r="B26" s="44" t="b" cm="1">
        <f t="array" ref="B26">_xlfn.LET(
  _xlpm.ids, VALUE(_xlfn.TEXTSPLIT(SUBSTITUTE(A26,",",";"),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6" s="44" t="s">
        <v>99</v>
      </c>
      <c r="D26" s="10" t="s">
        <v>390</v>
      </c>
      <c r="E26" s="10" t="s">
        <v>546</v>
      </c>
      <c r="F26" s="10"/>
      <c r="G26" s="10" t="s">
        <v>115</v>
      </c>
      <c r="H26" s="10"/>
      <c r="I26" s="10"/>
      <c r="J26" s="10" t="s">
        <v>797</v>
      </c>
      <c r="K26" s="10" t="s">
        <v>151</v>
      </c>
      <c r="L26" s="10"/>
      <c r="M26" s="10"/>
    </row>
    <row r="27" spans="1:13" ht="15" customHeight="1" x14ac:dyDescent="0.25">
      <c r="A27" s="44">
        <v>15</v>
      </c>
      <c r="B27" s="44" t="b" cm="1">
        <f t="array" ref="B27">_xlfn.LET(
  _xlpm.ids, VALUE(_xlfn.TEXTSPLIT(SUBSTITUTE(A27,",",";"),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7" s="44" t="s">
        <v>99</v>
      </c>
      <c r="D27" s="10" t="s">
        <v>390</v>
      </c>
      <c r="E27" s="10" t="s">
        <v>546</v>
      </c>
      <c r="F27" s="10"/>
      <c r="G27" s="10" t="s">
        <v>216</v>
      </c>
      <c r="H27" s="10"/>
      <c r="I27" s="10"/>
      <c r="J27" s="10" t="s">
        <v>799</v>
      </c>
      <c r="K27" s="10" t="s">
        <v>153</v>
      </c>
      <c r="L27" s="10"/>
      <c r="M27" s="10"/>
    </row>
    <row r="28" spans="1:13" ht="15" customHeight="1" x14ac:dyDescent="0.25">
      <c r="A28" s="44">
        <v>6</v>
      </c>
      <c r="B28" s="44" t="b" cm="1">
        <f t="array" ref="B28">_xlfn.LET(
  _xlpm.ids, VALUE(_xlfn.TEXTSPLIT(SUBSTITUTE(A28,",",";"),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8" s="44" t="s">
        <v>99</v>
      </c>
      <c r="D28" s="10" t="s">
        <v>1171</v>
      </c>
      <c r="E28" s="8" t="s">
        <v>546</v>
      </c>
      <c r="F28" s="8"/>
      <c r="G28" s="10" t="s">
        <v>115</v>
      </c>
      <c r="H28" s="10"/>
      <c r="I28" s="10"/>
      <c r="J28" s="10" t="s">
        <v>702</v>
      </c>
      <c r="K28" s="10" t="s">
        <v>119</v>
      </c>
      <c r="L28" s="10"/>
      <c r="M28" s="8"/>
    </row>
    <row r="29" spans="1:13" ht="15" customHeight="1" x14ac:dyDescent="0.25">
      <c r="A29" s="44">
        <v>6</v>
      </c>
      <c r="B29" s="44" t="b" cm="1">
        <f t="array" ref="B29">_xlfn.LET(
  _xlpm.ids, VALUE(_xlfn.TEXTSPLIT(SUBSTITUTE(A29,",",";"),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9" s="44" t="s">
        <v>99</v>
      </c>
      <c r="D29" s="10" t="s">
        <v>1171</v>
      </c>
      <c r="E29" s="10" t="s">
        <v>546</v>
      </c>
      <c r="F29" s="10"/>
      <c r="G29" s="10" t="s">
        <v>110</v>
      </c>
      <c r="H29" s="10"/>
      <c r="I29" s="10"/>
      <c r="J29" s="10" t="s">
        <v>705</v>
      </c>
      <c r="K29" s="10" t="s">
        <v>119</v>
      </c>
      <c r="L29" s="10"/>
    </row>
    <row r="30" spans="1:13" ht="15" customHeight="1" x14ac:dyDescent="0.25">
      <c r="A30" s="44">
        <v>6</v>
      </c>
      <c r="B30" s="44" t="b" cm="1">
        <f t="array" ref="B30">_xlfn.LET(
  _xlpm.ids, VALUE(_xlfn.TEXTSPLIT(SUBSTITUTE(A30,",",";"),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0" s="44" t="s">
        <v>99</v>
      </c>
      <c r="D30" s="10" t="s">
        <v>1171</v>
      </c>
      <c r="E30" s="8" t="s">
        <v>546</v>
      </c>
      <c r="F30" s="8"/>
      <c r="G30" s="10"/>
      <c r="H30" s="10"/>
      <c r="I30" s="10"/>
      <c r="J30" s="10" t="s">
        <v>706</v>
      </c>
      <c r="K30" s="10" t="s">
        <v>119</v>
      </c>
      <c r="L30" s="10"/>
      <c r="M30" s="10"/>
    </row>
    <row r="31" spans="1:13" ht="15" customHeight="1" x14ac:dyDescent="0.25">
      <c r="A31" s="44">
        <v>6</v>
      </c>
      <c r="B31" s="44" t="b" cm="1">
        <f t="array" ref="B31">_xlfn.LET(
  _xlpm.ids, VALUE(_xlfn.TEXTSPLIT(SUBSTITUTE(A31,",",";"),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1" s="44" t="s">
        <v>99</v>
      </c>
      <c r="D31" s="10" t="s">
        <v>1171</v>
      </c>
      <c r="E31" s="10" t="s">
        <v>582</v>
      </c>
      <c r="F31" s="10"/>
      <c r="G31" s="10" t="s">
        <v>179</v>
      </c>
      <c r="H31" s="10"/>
      <c r="I31" s="10"/>
      <c r="J31" s="10" t="s">
        <v>708</v>
      </c>
      <c r="K31" s="10" t="s">
        <v>119</v>
      </c>
      <c r="L31" s="10"/>
      <c r="M31" s="10"/>
    </row>
    <row r="32" spans="1:13" ht="15" customHeight="1" x14ac:dyDescent="0.25">
      <c r="A32" s="55">
        <v>12</v>
      </c>
      <c r="B32" s="55" t="b" cm="1">
        <f t="array" ref="B32">_xlfn.LET(
  _xlpm.ids, VALUE(_xlfn.TEXTSPLIT(SUBSTITUTE(A32,",",";"),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2" s="55" t="s">
        <v>99</v>
      </c>
      <c r="D32" s="15" t="s">
        <v>1171</v>
      </c>
      <c r="E32" s="15" t="s">
        <v>1166</v>
      </c>
      <c r="F32" s="15"/>
      <c r="G32" s="15" t="s">
        <v>124</v>
      </c>
      <c r="H32" s="15"/>
      <c r="I32" s="15"/>
      <c r="J32" s="15" t="s">
        <v>793</v>
      </c>
      <c r="K32" s="15" t="s">
        <v>202</v>
      </c>
      <c r="L32" s="15"/>
      <c r="M32" s="8"/>
    </row>
    <row r="33" spans="1:13" ht="15" customHeight="1" x14ac:dyDescent="0.25">
      <c r="A33" s="45">
        <v>28</v>
      </c>
      <c r="B33" s="45" t="b" cm="1">
        <f t="array" ref="B33">_xlfn.LET(
  _xlpm.ids, VALUE(_xlfn.TEXTSPLIT(SUBSTITUTE(A33,",",";"),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3" s="45" t="s">
        <v>99</v>
      </c>
      <c r="D33" s="8" t="s">
        <v>346</v>
      </c>
      <c r="E33" s="8" t="s">
        <v>724</v>
      </c>
      <c r="F33" s="8"/>
      <c r="G33" s="16" t="s">
        <v>115</v>
      </c>
      <c r="H33" s="16"/>
      <c r="I33" s="16"/>
      <c r="J33" s="8" t="s">
        <v>1172</v>
      </c>
      <c r="K33" s="8" t="s">
        <v>496</v>
      </c>
      <c r="L33" s="8"/>
      <c r="M33" s="8"/>
    </row>
    <row r="34" spans="1:13" ht="15" customHeight="1" x14ac:dyDescent="0.25">
      <c r="A34" s="45">
        <v>28</v>
      </c>
      <c r="B34" s="45" t="b" cm="1">
        <f t="array" ref="B34">_xlfn.LET(
  _xlpm.ids, VALUE(_xlfn.TEXTSPLIT(SUBSTITUTE(A34,",",";"),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4" s="45" t="s">
        <v>99</v>
      </c>
      <c r="D34" s="8" t="s">
        <v>346</v>
      </c>
      <c r="E34" s="8" t="s">
        <v>724</v>
      </c>
      <c r="F34" s="8"/>
      <c r="G34" s="16" t="s">
        <v>115</v>
      </c>
      <c r="H34" s="16"/>
      <c r="I34" s="16"/>
      <c r="J34" s="8" t="s">
        <v>1173</v>
      </c>
      <c r="K34" s="8" t="s">
        <v>496</v>
      </c>
      <c r="L34" s="8"/>
      <c r="M34" s="8"/>
    </row>
    <row r="35" spans="1:13" ht="15" customHeight="1" x14ac:dyDescent="0.25">
      <c r="A35" s="45">
        <v>28</v>
      </c>
      <c r="B35" s="45" t="b" cm="1">
        <f t="array" ref="B35">_xlfn.LET(
  _xlpm.ids, VALUE(_xlfn.TEXTSPLIT(SUBSTITUTE(A35,",",";"),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5" s="45" t="s">
        <v>99</v>
      </c>
      <c r="D35" s="8" t="s">
        <v>346</v>
      </c>
      <c r="E35" s="8" t="s">
        <v>724</v>
      </c>
      <c r="F35" s="8"/>
      <c r="G35" s="16" t="s">
        <v>115</v>
      </c>
      <c r="H35" s="16"/>
      <c r="I35" s="16"/>
      <c r="J35" s="8" t="s">
        <v>1174</v>
      </c>
      <c r="K35" s="8" t="s">
        <v>496</v>
      </c>
      <c r="L35" s="8"/>
      <c r="M35" s="8"/>
    </row>
    <row r="36" spans="1:13" ht="15" customHeight="1" x14ac:dyDescent="0.25">
      <c r="A36" s="45">
        <v>28</v>
      </c>
      <c r="B36" s="45" t="b" cm="1">
        <f t="array" ref="B36">_xlfn.LET(
  _xlpm.ids, VALUE(_xlfn.TEXTSPLIT(SUBSTITUTE(A36,",",";"),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6" s="45" t="s">
        <v>99</v>
      </c>
      <c r="D36" s="8" t="s">
        <v>346</v>
      </c>
      <c r="E36" s="8" t="s">
        <v>724</v>
      </c>
      <c r="F36" s="8"/>
      <c r="G36" s="16" t="s">
        <v>115</v>
      </c>
      <c r="H36" s="16"/>
      <c r="I36" s="16"/>
      <c r="J36" s="8" t="s">
        <v>1175</v>
      </c>
      <c r="K36" s="8" t="s">
        <v>496</v>
      </c>
      <c r="L36" s="8"/>
      <c r="M36" s="8"/>
    </row>
    <row r="37" spans="1:13" ht="15" customHeight="1" x14ac:dyDescent="0.25">
      <c r="A37" s="45">
        <v>28</v>
      </c>
      <c r="B37" s="45" t="b" cm="1">
        <f t="array" ref="B37">_xlfn.LET(
  _xlpm.ids, VALUE(_xlfn.TEXTSPLIT(SUBSTITUTE(A37,",",";"),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7" s="45" t="s">
        <v>99</v>
      </c>
      <c r="D37" s="8" t="s">
        <v>346</v>
      </c>
      <c r="E37" s="8" t="s">
        <v>724</v>
      </c>
      <c r="F37" s="8"/>
      <c r="G37" s="16" t="s">
        <v>115</v>
      </c>
      <c r="H37" s="16"/>
      <c r="I37" s="16"/>
      <c r="J37" s="8" t="s">
        <v>1176</v>
      </c>
      <c r="K37" s="34" t="s">
        <v>496</v>
      </c>
      <c r="L37" s="8"/>
      <c r="M37" s="8"/>
    </row>
    <row r="38" spans="1:13" ht="15" customHeight="1" x14ac:dyDescent="0.25">
      <c r="A38" s="55">
        <v>10</v>
      </c>
      <c r="B38" s="55" t="b" cm="1">
        <f t="array" ref="B38">_xlfn.LET(
  _xlpm.ids, VALUE(_xlfn.TEXTSPLIT(SUBSTITUTE(A38,",",";"),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8" s="55" t="s">
        <v>99</v>
      </c>
      <c r="D38" s="15" t="s">
        <v>1177</v>
      </c>
      <c r="E38" s="15" t="s">
        <v>1178</v>
      </c>
      <c r="F38" s="15"/>
      <c r="G38" s="15" t="s">
        <v>146</v>
      </c>
      <c r="H38" s="15"/>
      <c r="I38" s="15"/>
      <c r="J38" s="15" t="s">
        <v>725</v>
      </c>
      <c r="K38" s="15" t="s">
        <v>148</v>
      </c>
      <c r="L38" s="15"/>
      <c r="M38" s="15"/>
    </row>
    <row r="39" spans="1:13" ht="15" customHeight="1" x14ac:dyDescent="0.25">
      <c r="A39" s="55">
        <v>11</v>
      </c>
      <c r="B39" s="55" t="b" cm="1">
        <f t="array" ref="B39">_xlfn.LET(
  _xlpm.ids, VALUE(_xlfn.TEXTSPLIT(SUBSTITUTE(A39,",",";"),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9" s="55" t="s">
        <v>99</v>
      </c>
      <c r="D39" s="15" t="s">
        <v>191</v>
      </c>
      <c r="E39" s="15" t="s">
        <v>724</v>
      </c>
      <c r="F39" s="15"/>
      <c r="G39" s="15" t="s">
        <v>115</v>
      </c>
      <c r="H39" s="15"/>
      <c r="I39" s="15"/>
      <c r="J39" s="15" t="s">
        <v>727</v>
      </c>
      <c r="K39" s="15" t="s">
        <v>313</v>
      </c>
      <c r="L39" s="15"/>
      <c r="M39" s="10"/>
    </row>
    <row r="40" spans="1:13" ht="15" customHeight="1" x14ac:dyDescent="0.25">
      <c r="A40" s="55">
        <v>11</v>
      </c>
      <c r="B40" s="55" t="b" cm="1">
        <f t="array" ref="B40">_xlfn.LET(
  _xlpm.ids, VALUE(_xlfn.TEXTSPLIT(SUBSTITUTE(A40,",",";"),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0" s="55" t="s">
        <v>99</v>
      </c>
      <c r="D40" s="15" t="s">
        <v>191</v>
      </c>
      <c r="E40" s="15" t="s">
        <v>724</v>
      </c>
      <c r="F40" s="15"/>
      <c r="G40" s="15" t="s">
        <v>115</v>
      </c>
      <c r="H40" s="15"/>
      <c r="I40" s="15"/>
      <c r="J40" s="15" t="s">
        <v>728</v>
      </c>
      <c r="K40" s="15" t="s">
        <v>313</v>
      </c>
      <c r="L40" s="15"/>
      <c r="M40" s="8"/>
    </row>
    <row r="41" spans="1:13" ht="15" customHeight="1" x14ac:dyDescent="0.25">
      <c r="A41" s="45">
        <v>3</v>
      </c>
      <c r="B41" s="45" t="b" cm="1">
        <f t="array" ref="B41">_xlfn.LET(
  _xlpm.ids, VALUE(_xlfn.TEXTSPLIT(SUBSTITUTE(A41,",",";"),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1" s="45" t="s">
        <v>99</v>
      </c>
      <c r="D41" s="8" t="s">
        <v>191</v>
      </c>
      <c r="E41" s="8" t="s">
        <v>724</v>
      </c>
      <c r="F41" s="8"/>
      <c r="G41" s="8" t="s">
        <v>124</v>
      </c>
      <c r="H41" s="8"/>
      <c r="I41" s="8"/>
      <c r="J41" s="10" t="s">
        <v>726</v>
      </c>
      <c r="K41" s="10" t="s">
        <v>122</v>
      </c>
      <c r="L41" s="8"/>
    </row>
    <row r="42" spans="1:13" ht="15" customHeight="1" x14ac:dyDescent="0.25">
      <c r="A42" s="47">
        <v>31</v>
      </c>
      <c r="B42" s="47" t="b" cm="1">
        <f t="array" ref="B42">_xlfn.LET(
  _xlpm.ids, VALUE(_xlfn.TEXTSPLIT(SUBSTITUTE(A42,",",";"),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2" s="47" t="s">
        <v>99</v>
      </c>
      <c r="D42" s="24" t="s">
        <v>191</v>
      </c>
      <c r="E42" s="24" t="s">
        <v>1178</v>
      </c>
      <c r="F42" s="24"/>
      <c r="G42" s="24" t="s">
        <v>115</v>
      </c>
      <c r="H42" s="24"/>
      <c r="I42" s="24"/>
      <c r="J42" s="21" t="s">
        <v>731</v>
      </c>
      <c r="K42" s="21" t="s">
        <v>129</v>
      </c>
      <c r="L42" s="23"/>
      <c r="M42" s="8"/>
    </row>
    <row r="43" spans="1:13" ht="15" customHeight="1" x14ac:dyDescent="0.25">
      <c r="A43" s="44">
        <v>8</v>
      </c>
      <c r="B43" s="44" t="b" cm="1">
        <f t="array" ref="B43">_xlfn.LET(
  _xlpm.ids, VALUE(_xlfn.TEXTSPLIT(SUBSTITUTE(A43,",",";"),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3" s="44" t="s">
        <v>99</v>
      </c>
      <c r="D43" s="10" t="s">
        <v>346</v>
      </c>
      <c r="E43" s="10" t="s">
        <v>724</v>
      </c>
      <c r="F43" s="10"/>
      <c r="G43" s="10" t="s">
        <v>110</v>
      </c>
      <c r="H43" s="10"/>
      <c r="I43" s="10"/>
      <c r="J43" s="10" t="s">
        <v>732</v>
      </c>
      <c r="K43" s="10" t="s">
        <v>174</v>
      </c>
      <c r="L43" s="10"/>
      <c r="M43" s="10" t="s">
        <v>733</v>
      </c>
    </row>
    <row r="44" spans="1:13" ht="15" customHeight="1" x14ac:dyDescent="0.25">
      <c r="A44" s="55">
        <v>16</v>
      </c>
      <c r="B44" s="55" t="b" cm="1">
        <f t="array" ref="B44">_xlfn.LET(
  _xlpm.ids, VALUE(_xlfn.TEXTSPLIT(SUBSTITUTE(A44,",",";"),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4" s="55" t="s">
        <v>99</v>
      </c>
      <c r="D44" s="15" t="s">
        <v>191</v>
      </c>
      <c r="E44" s="15" t="s">
        <v>729</v>
      </c>
      <c r="F44" s="15"/>
      <c r="G44" s="15" t="s">
        <v>275</v>
      </c>
      <c r="H44" s="15"/>
      <c r="I44" s="15"/>
      <c r="J44" s="15" t="s">
        <v>745</v>
      </c>
      <c r="K44" s="15" t="s">
        <v>244</v>
      </c>
      <c r="L44" s="8"/>
      <c r="M44" s="8"/>
    </row>
    <row r="45" spans="1:13" ht="15" customHeight="1" x14ac:dyDescent="0.25">
      <c r="A45" s="45">
        <v>30</v>
      </c>
      <c r="B45" s="45" t="b" cm="1">
        <f t="array" ref="B45">_xlfn.LET(
  _xlpm.ids, VALUE(_xlfn.TEXTSPLIT(SUBSTITUTE(A45,",",";"),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5" s="45" t="s">
        <v>99</v>
      </c>
      <c r="D45" s="18" t="s">
        <v>346</v>
      </c>
      <c r="E45" s="18" t="s">
        <v>729</v>
      </c>
      <c r="F45" s="18"/>
      <c r="G45" s="18" t="s">
        <v>285</v>
      </c>
      <c r="H45" s="18"/>
      <c r="I45" s="18"/>
      <c r="J45" s="8" t="s">
        <v>746</v>
      </c>
      <c r="K45" s="8" t="s">
        <v>511</v>
      </c>
      <c r="L45" s="8"/>
      <c r="M45" s="8"/>
    </row>
    <row r="46" spans="1:13" ht="15" customHeight="1" x14ac:dyDescent="0.25">
      <c r="A46" s="44">
        <v>7</v>
      </c>
      <c r="B46" s="44" t="b" cm="1">
        <f t="array" ref="B46">_xlfn.LET(
  _xlpm.ids, VALUE(_xlfn.TEXTSPLIT(SUBSTITUTE(A46,",",";"),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6" s="44" t="s">
        <v>99</v>
      </c>
      <c r="D46" s="10" t="s">
        <v>191</v>
      </c>
      <c r="E46" s="10" t="s">
        <v>729</v>
      </c>
      <c r="F46" s="10"/>
      <c r="G46" s="10" t="s">
        <v>216</v>
      </c>
      <c r="H46" s="10"/>
      <c r="I46" s="10"/>
      <c r="J46" s="10" t="s">
        <v>741</v>
      </c>
      <c r="K46" s="10" t="s">
        <v>153</v>
      </c>
      <c r="L46" s="8"/>
      <c r="M46" s="8"/>
    </row>
    <row r="47" spans="1:13" ht="15" customHeight="1" x14ac:dyDescent="0.25">
      <c r="A47" s="55">
        <v>11</v>
      </c>
      <c r="B47" s="55" t="b" cm="1">
        <f t="array" ref="B47">_xlfn.LET(
  _xlpm.ids, VALUE(_xlfn.TEXTSPLIT(SUBSTITUTE(A47,",",";"),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7" s="55" t="s">
        <v>99</v>
      </c>
      <c r="D47" s="15" t="s">
        <v>191</v>
      </c>
      <c r="E47" s="15" t="s">
        <v>729</v>
      </c>
      <c r="F47" s="15"/>
      <c r="G47" s="15" t="s">
        <v>290</v>
      </c>
      <c r="H47" s="15"/>
      <c r="I47" s="15"/>
      <c r="J47" s="15" t="s">
        <v>742</v>
      </c>
      <c r="K47" s="15" t="s">
        <v>313</v>
      </c>
      <c r="L47" s="8"/>
      <c r="M47" s="8"/>
    </row>
    <row r="48" spans="1:13" ht="15" customHeight="1" x14ac:dyDescent="0.25">
      <c r="A48" s="45" t="s">
        <v>190</v>
      </c>
      <c r="B48" s="45" t="b" cm="1">
        <f t="array" ref="B48">_xlfn.LET(
  _xlpm.ids, VALUE(_xlfn.TEXTSPLIT(SUBSTITUTE(A48,",",";"),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8" s="45" t="s">
        <v>99</v>
      </c>
      <c r="D48" s="8" t="s">
        <v>346</v>
      </c>
      <c r="E48" s="8" t="s">
        <v>729</v>
      </c>
      <c r="F48" s="8"/>
      <c r="G48" s="10" t="s">
        <v>179</v>
      </c>
      <c r="H48" s="10"/>
      <c r="I48" s="10"/>
      <c r="J48" s="10" t="s">
        <v>730</v>
      </c>
      <c r="K48" s="10" t="s">
        <v>554</v>
      </c>
      <c r="L48" s="8"/>
      <c r="M48" s="8"/>
    </row>
    <row r="49" spans="1:13" ht="15" customHeight="1" x14ac:dyDescent="0.25">
      <c r="A49" s="45">
        <v>5</v>
      </c>
      <c r="B49" s="45" t="b" cm="1">
        <f t="array" ref="B49">_xlfn.LET(
  _xlpm.ids, VALUE(_xlfn.TEXTSPLIT(SUBSTITUTE(A49,",",";"),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9" s="45" t="s">
        <v>99</v>
      </c>
      <c r="D49" s="8" t="s">
        <v>191</v>
      </c>
      <c r="E49" s="8" t="s">
        <v>729</v>
      </c>
      <c r="F49" s="8"/>
      <c r="G49" s="8" t="s">
        <v>124</v>
      </c>
      <c r="H49" s="8"/>
      <c r="I49" s="8"/>
      <c r="J49" s="10" t="s">
        <v>734</v>
      </c>
      <c r="K49" s="10" t="s">
        <v>157</v>
      </c>
      <c r="L49" s="8"/>
      <c r="M49" s="10"/>
    </row>
    <row r="50" spans="1:13" ht="15" customHeight="1" x14ac:dyDescent="0.25">
      <c r="A50" s="44">
        <v>20</v>
      </c>
      <c r="B50" s="44" t="b" cm="1">
        <f t="array" ref="B50">_xlfn.LET(
  _xlpm.ids, VALUE(_xlfn.TEXTSPLIT(SUBSTITUTE(A50,",",";"),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0" s="44" t="s">
        <v>99</v>
      </c>
      <c r="D50" s="10" t="s">
        <v>346</v>
      </c>
      <c r="E50" s="8" t="s">
        <v>729</v>
      </c>
      <c r="F50" s="8"/>
      <c r="G50" s="10" t="s">
        <v>290</v>
      </c>
      <c r="H50" s="10"/>
      <c r="I50" s="10"/>
      <c r="J50" s="10" t="s">
        <v>735</v>
      </c>
      <c r="K50" s="10" t="s">
        <v>355</v>
      </c>
      <c r="L50" s="10"/>
      <c r="M50" s="15"/>
    </row>
    <row r="51" spans="1:13" ht="15" customHeight="1" x14ac:dyDescent="0.25">
      <c r="A51" s="44">
        <v>18</v>
      </c>
      <c r="B51" s="44" t="b" cm="1">
        <f t="array" ref="B51">_xlfn.LET(
  _xlpm.ids, VALUE(_xlfn.TEXTSPLIT(SUBSTITUTE(A51,",",";"),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1" s="44" t="s">
        <v>99</v>
      </c>
      <c r="D51" s="10" t="s">
        <v>346</v>
      </c>
      <c r="E51" s="8" t="s">
        <v>729</v>
      </c>
      <c r="F51" s="8"/>
      <c r="G51" s="10" t="s">
        <v>290</v>
      </c>
      <c r="H51" s="10"/>
      <c r="I51" s="10"/>
      <c r="J51" s="10" t="s">
        <v>736</v>
      </c>
      <c r="K51" s="10" t="s">
        <v>292</v>
      </c>
      <c r="L51" s="10"/>
      <c r="M51" s="10"/>
    </row>
    <row r="52" spans="1:13" ht="15" customHeight="1" x14ac:dyDescent="0.25">
      <c r="A52" s="44">
        <v>19</v>
      </c>
      <c r="B52" s="44" t="b" cm="1">
        <f t="array" ref="B52">_xlfn.LET(
  _xlpm.ids, VALUE(_xlfn.TEXTSPLIT(SUBSTITUTE(A52,",",";"),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2" s="44" t="s">
        <v>99</v>
      </c>
      <c r="D52" s="10" t="s">
        <v>346</v>
      </c>
      <c r="E52" s="10" t="s">
        <v>729</v>
      </c>
      <c r="F52" s="10"/>
      <c r="G52" s="10" t="s">
        <v>290</v>
      </c>
      <c r="H52" s="10"/>
      <c r="I52" s="10"/>
      <c r="J52" s="10" t="s">
        <v>737</v>
      </c>
      <c r="K52" s="10" t="s">
        <v>309</v>
      </c>
      <c r="L52" s="10"/>
      <c r="M52" s="10"/>
    </row>
    <row r="53" spans="1:13" ht="15" customHeight="1" x14ac:dyDescent="0.25">
      <c r="A53" s="44">
        <v>20</v>
      </c>
      <c r="B53" s="44" t="b" cm="1">
        <f t="array" ref="B53">_xlfn.LET(
  _xlpm.ids, VALUE(_xlfn.TEXTSPLIT(SUBSTITUTE(A53,",",";"),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3" s="44" t="s">
        <v>99</v>
      </c>
      <c r="D53" s="10" t="s">
        <v>191</v>
      </c>
      <c r="E53" s="8" t="s">
        <v>729</v>
      </c>
      <c r="F53" s="8"/>
      <c r="G53" s="10" t="s">
        <v>290</v>
      </c>
      <c r="H53" s="10"/>
      <c r="I53" s="10"/>
      <c r="J53" s="10" t="s">
        <v>738</v>
      </c>
      <c r="K53" s="10" t="s">
        <v>355</v>
      </c>
      <c r="L53" s="10"/>
      <c r="M53" s="10"/>
    </row>
    <row r="54" spans="1:13" ht="15" customHeight="1" x14ac:dyDescent="0.25">
      <c r="A54" s="44">
        <v>18</v>
      </c>
      <c r="B54" s="44" t="b" cm="1">
        <f t="array" ref="B54">_xlfn.LET(
  _xlpm.ids, VALUE(_xlfn.TEXTSPLIT(SUBSTITUTE(A54,",",";"),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4" s="44" t="s">
        <v>99</v>
      </c>
      <c r="D54" s="10" t="s">
        <v>346</v>
      </c>
      <c r="E54" s="8" t="s">
        <v>729</v>
      </c>
      <c r="F54" s="8"/>
      <c r="G54" s="10" t="s">
        <v>290</v>
      </c>
      <c r="H54" s="10"/>
      <c r="I54" s="10"/>
      <c r="J54" s="10" t="s">
        <v>739</v>
      </c>
      <c r="K54" s="10" t="s">
        <v>292</v>
      </c>
      <c r="L54" s="10"/>
      <c r="M54" s="10"/>
    </row>
    <row r="55" spans="1:13" ht="15" customHeight="1" x14ac:dyDescent="0.25">
      <c r="A55" s="44">
        <v>14</v>
      </c>
      <c r="B55" s="44" t="b" cm="1">
        <f t="array" ref="B55">_xlfn.LET(
  _xlpm.ids, VALUE(_xlfn.TEXTSPLIT(SUBSTITUTE(A55,",",";"),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55" s="44" t="s">
        <v>99</v>
      </c>
      <c r="D55" s="10" t="s">
        <v>191</v>
      </c>
      <c r="E55" s="10" t="s">
        <v>729</v>
      </c>
      <c r="F55" s="10"/>
      <c r="G55" s="10" t="s">
        <v>115</v>
      </c>
      <c r="H55" s="10"/>
      <c r="I55" s="10"/>
      <c r="J55" s="10" t="s">
        <v>744</v>
      </c>
      <c r="K55" s="10" t="s">
        <v>140</v>
      </c>
      <c r="L55" s="10"/>
      <c r="M55" s="8"/>
    </row>
    <row r="56" spans="1:13" ht="15" customHeight="1" x14ac:dyDescent="0.25">
      <c r="A56" s="51">
        <v>14</v>
      </c>
      <c r="B56" s="51" t="b" cm="1">
        <f t="array" ref="B56">_xlfn.LET(
  _xlpm.ids, VALUE(_xlfn.TEXTSPLIT(SUBSTITUTE(A56,",",";"),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56" s="51" t="s">
        <v>99</v>
      </c>
      <c r="D56" s="11" t="s">
        <v>191</v>
      </c>
      <c r="E56" s="11" t="s">
        <v>729</v>
      </c>
      <c r="F56" s="11"/>
      <c r="G56" s="11" t="s">
        <v>115</v>
      </c>
      <c r="H56" s="11"/>
      <c r="I56" s="11"/>
      <c r="J56" s="11" t="s">
        <v>749</v>
      </c>
      <c r="K56" s="11" t="s">
        <v>140</v>
      </c>
      <c r="L56" s="11" t="s">
        <v>750</v>
      </c>
      <c r="M56" s="11"/>
    </row>
    <row r="57" spans="1:13" ht="15" customHeight="1" x14ac:dyDescent="0.25">
      <c r="A57" s="44">
        <v>13</v>
      </c>
      <c r="B57" s="44" t="b" cm="1">
        <f t="array" ref="B57">_xlfn.LET(
  _xlpm.ids, VALUE(_xlfn.TEXTSPLIT(SUBSTITUTE(A57,",",";"),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7" s="44" t="s">
        <v>99</v>
      </c>
      <c r="D57" s="10" t="s">
        <v>191</v>
      </c>
      <c r="E57" s="10" t="s">
        <v>729</v>
      </c>
      <c r="F57" s="10"/>
      <c r="G57" s="10" t="s">
        <v>115</v>
      </c>
      <c r="H57" s="10"/>
      <c r="I57" s="10"/>
      <c r="J57" s="10" t="s">
        <v>747</v>
      </c>
      <c r="K57" s="10" t="s">
        <v>151</v>
      </c>
      <c r="L57" s="10"/>
      <c r="M57" s="21" t="s">
        <v>748</v>
      </c>
    </row>
    <row r="58" spans="1:13" ht="15" customHeight="1" x14ac:dyDescent="0.25">
      <c r="A58" s="44">
        <v>21</v>
      </c>
      <c r="B58" s="44" t="b" cm="1">
        <f t="array" ref="B58">_xlfn.LET(
  _xlpm.ids, VALUE(_xlfn.TEXTSPLIT(SUBSTITUTE(A58,",",";"),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58" s="44" t="s">
        <v>99</v>
      </c>
      <c r="D58" s="10" t="s">
        <v>191</v>
      </c>
      <c r="E58" s="10" t="s">
        <v>729</v>
      </c>
      <c r="F58" s="10"/>
      <c r="G58" s="10" t="s">
        <v>290</v>
      </c>
      <c r="H58" s="10"/>
      <c r="I58" s="10"/>
      <c r="J58" s="10" t="s">
        <v>743</v>
      </c>
      <c r="K58" s="10" t="s">
        <v>107</v>
      </c>
      <c r="L58" s="10"/>
      <c r="M58" s="10"/>
    </row>
    <row r="59" spans="1:13" ht="15" customHeight="1" x14ac:dyDescent="0.25">
      <c r="A59" s="44">
        <v>22</v>
      </c>
      <c r="B59" s="44" t="b" cm="1">
        <f t="array" ref="B59">_xlfn.LET(
  _xlpm.ids, VALUE(_xlfn.TEXTSPLIT(SUBSTITUTE(A59,",",";"),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9" s="44" t="s">
        <v>99</v>
      </c>
      <c r="D59" s="10" t="s">
        <v>191</v>
      </c>
      <c r="E59" s="10" t="s">
        <v>729</v>
      </c>
      <c r="F59" s="10"/>
      <c r="G59" s="10" t="s">
        <v>179</v>
      </c>
      <c r="H59" s="10"/>
      <c r="I59" s="10"/>
      <c r="J59" s="10" t="s">
        <v>346</v>
      </c>
      <c r="K59" s="10" t="s">
        <v>112</v>
      </c>
      <c r="L59" s="10"/>
      <c r="M59" s="10"/>
    </row>
    <row r="60" spans="1:13" ht="15" customHeight="1" x14ac:dyDescent="0.25">
      <c r="A60" s="55">
        <v>10</v>
      </c>
      <c r="B60" s="55" t="b" cm="1">
        <f t="array" ref="B60">_xlfn.LET(
  _xlpm.ids, VALUE(_xlfn.TEXTSPLIT(SUBSTITUTE(A60,",",";"),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0" s="55" t="s">
        <v>99</v>
      </c>
      <c r="D60" s="15" t="s">
        <v>191</v>
      </c>
      <c r="E60" s="15" t="s">
        <v>729</v>
      </c>
      <c r="F60" s="15"/>
      <c r="G60" s="15" t="s">
        <v>290</v>
      </c>
      <c r="H60" s="15"/>
      <c r="I60" s="15"/>
      <c r="J60" s="15" t="s">
        <v>751</v>
      </c>
      <c r="K60" s="15" t="s">
        <v>148</v>
      </c>
      <c r="L60" s="15"/>
      <c r="M60" s="8"/>
    </row>
    <row r="61" spans="1:13" ht="15" customHeight="1" x14ac:dyDescent="0.25">
      <c r="A61" s="45">
        <v>5</v>
      </c>
      <c r="B61" s="45" t="b" cm="1">
        <f t="array" ref="B61">_xlfn.LET(
  _xlpm.ids, VALUE(_xlfn.TEXTSPLIT(SUBSTITUTE(A61,",",";"),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1" s="45" t="s">
        <v>99</v>
      </c>
      <c r="D61" s="8" t="s">
        <v>191</v>
      </c>
      <c r="E61" s="8" t="s">
        <v>729</v>
      </c>
      <c r="F61" s="8"/>
      <c r="G61" s="8" t="s">
        <v>124</v>
      </c>
      <c r="H61" s="8"/>
      <c r="I61" s="8"/>
      <c r="J61" s="10" t="s">
        <v>740</v>
      </c>
      <c r="K61" s="10" t="s">
        <v>157</v>
      </c>
      <c r="L61" s="8"/>
      <c r="M61" s="15"/>
    </row>
    <row r="62" spans="1:13" ht="15" customHeight="1" x14ac:dyDescent="0.25">
      <c r="A62" s="45">
        <v>27</v>
      </c>
      <c r="B62" s="45" t="b" cm="1">
        <f t="array" ref="B62">_xlfn.LET(
  _xlpm.ids, VALUE(_xlfn.TEXTSPLIT(SUBSTITUTE(A62,",",";"),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2" s="45" t="s">
        <v>99</v>
      </c>
      <c r="D62" s="8" t="s">
        <v>191</v>
      </c>
      <c r="E62" s="8" t="s">
        <v>753</v>
      </c>
      <c r="F62" s="8"/>
      <c r="G62" s="8" t="s">
        <v>754</v>
      </c>
      <c r="H62" s="8"/>
      <c r="I62" s="8"/>
      <c r="J62" s="8" t="s">
        <v>755</v>
      </c>
      <c r="K62" s="8"/>
      <c r="L62" s="8"/>
      <c r="M62" s="10"/>
    </row>
    <row r="63" spans="1:13" ht="15" customHeight="1" x14ac:dyDescent="0.25">
      <c r="A63" s="45">
        <v>26</v>
      </c>
      <c r="B63" s="45" t="b" cm="1">
        <f t="array" ref="B63">_xlfn.LET(
  _xlpm.ids, VALUE(_xlfn.TEXTSPLIT(SUBSTITUTE(A63,",",";"),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3" s="45" t="s">
        <v>99</v>
      </c>
      <c r="D63" s="8" t="s">
        <v>191</v>
      </c>
      <c r="E63" s="8"/>
      <c r="F63" s="8"/>
      <c r="G63" s="8" t="s">
        <v>115</v>
      </c>
      <c r="H63" s="8"/>
      <c r="I63" s="8"/>
      <c r="J63" s="8" t="s">
        <v>438</v>
      </c>
      <c r="K63" s="8" t="s">
        <v>134</v>
      </c>
      <c r="L63" s="8"/>
      <c r="M63" s="8"/>
    </row>
    <row r="64" spans="1:13" ht="15" customHeight="1" x14ac:dyDescent="0.25">
      <c r="A64" s="47">
        <v>31</v>
      </c>
      <c r="B64" s="47" t="b" cm="1">
        <f t="array" ref="B64">_xlfn.LET(
  _xlpm.ids, VALUE(_xlfn.TEXTSPLIT(SUBSTITUTE(A64,",",";"),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4" s="47" t="s">
        <v>99</v>
      </c>
      <c r="D64" s="24" t="s">
        <v>191</v>
      </c>
      <c r="E64" s="24"/>
      <c r="F64" s="24"/>
      <c r="G64" s="24" t="s">
        <v>115</v>
      </c>
      <c r="H64" s="24"/>
      <c r="I64" s="24"/>
      <c r="J64" s="21" t="s">
        <v>192</v>
      </c>
      <c r="K64" s="21" t="s">
        <v>129</v>
      </c>
      <c r="L64" s="23"/>
      <c r="M64" s="21"/>
    </row>
    <row r="65" spans="1:13" ht="15" customHeight="1" x14ac:dyDescent="0.25">
      <c r="A65" s="53">
        <v>6</v>
      </c>
      <c r="B65" s="53" t="b" cm="1">
        <f t="array" ref="B65">_xlfn.LET(
  _xlpm.ids, VALUE(_xlfn.TEXTSPLIT(SUBSTITUTE(A65,",",";"),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5" s="53" t="s">
        <v>99</v>
      </c>
      <c r="D65" s="12" t="s">
        <v>1171</v>
      </c>
      <c r="E65" s="12"/>
      <c r="F65" s="12"/>
      <c r="G65" s="12"/>
      <c r="H65" s="12"/>
      <c r="I65" s="12"/>
      <c r="J65" s="12" t="s">
        <v>703</v>
      </c>
      <c r="K65" s="12" t="s">
        <v>119</v>
      </c>
      <c r="L65" s="12" t="s">
        <v>704</v>
      </c>
      <c r="M65" s="12"/>
    </row>
    <row r="66" spans="1:13" ht="15" customHeight="1" x14ac:dyDescent="0.25">
      <c r="A66" s="46">
        <v>22</v>
      </c>
      <c r="B66" s="46" t="b" cm="1">
        <f t="array" ref="B66">_xlfn.LET(
  _xlpm.ids, VALUE(_xlfn.TEXTSPLIT(SUBSTITUTE(A66,",",";"),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6" s="46" t="s">
        <v>99</v>
      </c>
      <c r="D66" s="13"/>
      <c r="E66" s="13"/>
      <c r="F66" s="13"/>
      <c r="G66" s="13" t="s">
        <v>216</v>
      </c>
      <c r="H66" s="13"/>
      <c r="I66" s="13"/>
      <c r="J66" s="13" t="s">
        <v>116</v>
      </c>
      <c r="K66" s="13" t="s">
        <v>112</v>
      </c>
      <c r="L66" s="13"/>
      <c r="M66" s="10" t="s">
        <v>117</v>
      </c>
    </row>
    <row r="67" spans="1:13" ht="15" customHeight="1" x14ac:dyDescent="0.25">
      <c r="A67" s="53">
        <v>6</v>
      </c>
      <c r="B67" s="53" t="b" cm="1">
        <f t="array" ref="B67">_xlfn.LET(
  _xlpm.ids, VALUE(_xlfn.TEXTSPLIT(SUBSTITUTE(A67,",",";"),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7" s="53" t="s">
        <v>99</v>
      </c>
      <c r="D67" s="12" t="s">
        <v>1171</v>
      </c>
      <c r="E67" s="12"/>
      <c r="F67" s="12"/>
      <c r="G67" s="12"/>
      <c r="H67" s="12"/>
      <c r="I67" s="12"/>
      <c r="J67" s="12" t="s">
        <v>707</v>
      </c>
      <c r="K67" s="12" t="s">
        <v>119</v>
      </c>
      <c r="L67" s="42" t="s">
        <v>704</v>
      </c>
    </row>
    <row r="68" spans="1:13" ht="15" customHeight="1" x14ac:dyDescent="0.25">
      <c r="A68" s="44">
        <v>9</v>
      </c>
      <c r="B68" s="44" t="b" cm="1">
        <f t="array" ref="B68">_xlfn.LET(
  _xlpm.ids, VALUE(_xlfn.TEXTSPLIT(SUBSTITUTE(A68,",",";"),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8" s="44" t="s">
        <v>99</v>
      </c>
      <c r="D68" s="10" t="s">
        <v>346</v>
      </c>
      <c r="E68" s="10"/>
      <c r="F68" s="10"/>
      <c r="G68" s="10" t="s">
        <v>214</v>
      </c>
      <c r="H68" s="10"/>
      <c r="I68" s="10"/>
      <c r="J68" s="10" t="s">
        <v>215</v>
      </c>
      <c r="K68" s="10" t="s">
        <v>112</v>
      </c>
      <c r="L68" s="10"/>
    </row>
    <row r="69" spans="1:13" ht="15" customHeight="1" x14ac:dyDescent="0.25">
      <c r="M69" s="8"/>
    </row>
  </sheetData>
  <autoFilter ref="A1:P68" xr:uid="{BBFACCBC-099D-8E45-93B3-F5D581E91A5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57DA4-6040-0C41-95F4-16E098CF97B0}">
  <dimension ref="A1:U170"/>
  <sheetViews>
    <sheetView workbookViewId="0">
      <pane ySplit="1" topLeftCell="A134" activePane="bottomLeft" state="frozen"/>
      <selection activeCell="D5" sqref="D5"/>
      <selection pane="bottomLeft" activeCell="D5" sqref="D5"/>
    </sheetView>
  </sheetViews>
  <sheetFormatPr defaultColWidth="11" defaultRowHeight="15" customHeight="1" x14ac:dyDescent="0.25"/>
  <cols>
    <col min="1" max="1" width="9.875" style="48" customWidth="1"/>
    <col min="2" max="3" width="10.125" style="48" customWidth="1"/>
    <col min="4" max="9" width="18.375" style="14" customWidth="1"/>
    <col min="10" max="10" width="52.125" style="14" customWidth="1"/>
    <col min="11" max="16" width="18.375" style="14" customWidth="1"/>
    <col min="17" max="16384" width="11" style="14"/>
  </cols>
  <sheetData>
    <row r="1" spans="1:16" ht="39.75" customHeight="1" x14ac:dyDescent="0.25">
      <c r="A1" s="43" t="s">
        <v>0</v>
      </c>
      <c r="B1" s="43" t="s">
        <v>1160</v>
      </c>
      <c r="C1" s="43" t="s">
        <v>78</v>
      </c>
      <c r="D1" s="1" t="s">
        <v>79</v>
      </c>
      <c r="E1" s="1" t="s">
        <v>80</v>
      </c>
      <c r="F1" s="1" t="s">
        <v>81</v>
      </c>
      <c r="G1" s="1" t="s">
        <v>82</v>
      </c>
      <c r="H1" s="1" t="s">
        <v>1167</v>
      </c>
      <c r="I1" s="1" t="s">
        <v>77</v>
      </c>
      <c r="J1" s="1" t="s">
        <v>84</v>
      </c>
      <c r="K1" s="1" t="s">
        <v>88</v>
      </c>
      <c r="L1" s="1" t="s">
        <v>5</v>
      </c>
      <c r="M1" s="1" t="s">
        <v>1163</v>
      </c>
      <c r="N1" s="1" t="s">
        <v>1161</v>
      </c>
      <c r="O1" s="1" t="s">
        <v>1162</v>
      </c>
      <c r="P1" s="1" t="s">
        <v>86</v>
      </c>
    </row>
    <row r="2" spans="1:16" ht="15" customHeight="1" x14ac:dyDescent="0.25">
      <c r="A2" s="45" t="s">
        <v>1179</v>
      </c>
      <c r="B2" s="45" t="str" cm="1">
        <f t="array" ref="B2">_xlfn.LET(
  _xlpm.ids, VALUE(_xlfn.TEXTSPLIT(SUBSTITUTE(A2,",",";"),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2" s="45" t="s">
        <v>93</v>
      </c>
      <c r="D2" s="15" t="s">
        <v>1180</v>
      </c>
      <c r="E2" s="15" t="s">
        <v>344</v>
      </c>
      <c r="F2" s="15"/>
      <c r="G2" s="8" t="s">
        <v>290</v>
      </c>
      <c r="H2" s="8"/>
      <c r="I2" s="8"/>
      <c r="J2" s="8" t="s">
        <v>594</v>
      </c>
      <c r="K2" s="8" t="s">
        <v>1181</v>
      </c>
      <c r="L2" s="8" t="s">
        <v>596</v>
      </c>
      <c r="M2" s="8"/>
    </row>
    <row r="3" spans="1:16" ht="15" customHeight="1" x14ac:dyDescent="0.25">
      <c r="A3" s="44">
        <v>6</v>
      </c>
      <c r="B3" s="44" t="b" cm="1">
        <f t="array" ref="B3">_xlfn.LET(
  _xlpm.ids, VALUE(_xlfn.TEXTSPLIT(SUBSTITUTE(A3,",",";"),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 s="44" t="s">
        <v>93</v>
      </c>
      <c r="D3" s="10"/>
      <c r="E3" s="10"/>
      <c r="F3" s="10"/>
      <c r="G3" s="10"/>
      <c r="H3" s="10"/>
      <c r="I3" s="10"/>
      <c r="J3" s="4" t="s">
        <v>682</v>
      </c>
      <c r="K3" s="4" t="s">
        <v>119</v>
      </c>
      <c r="L3" s="10"/>
      <c r="M3" s="10" t="s">
        <v>1182</v>
      </c>
    </row>
    <row r="4" spans="1:16" ht="15" customHeight="1" x14ac:dyDescent="0.25">
      <c r="A4" s="44">
        <v>15</v>
      </c>
      <c r="B4" s="44" t="b" cm="1">
        <f t="array" ref="B4">_xlfn.LET(
  _xlpm.ids, VALUE(_xlfn.TEXTSPLIT(SUBSTITUTE(A4,",",";"),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 s="44" t="s">
        <v>93</v>
      </c>
      <c r="D4" s="10" t="s">
        <v>1180</v>
      </c>
      <c r="E4" s="10" t="s">
        <v>344</v>
      </c>
      <c r="F4" s="10"/>
      <c r="G4" s="10" t="s">
        <v>115</v>
      </c>
      <c r="H4" s="10"/>
      <c r="I4" s="10"/>
      <c r="J4" s="4" t="s">
        <v>639</v>
      </c>
      <c r="K4" s="4" t="s">
        <v>153</v>
      </c>
      <c r="L4" s="10"/>
      <c r="M4" s="10"/>
    </row>
    <row r="5" spans="1:16" ht="15" customHeight="1" x14ac:dyDescent="0.25">
      <c r="A5" s="44">
        <v>13</v>
      </c>
      <c r="B5" s="44" t="b" cm="1">
        <f t="array" ref="B5">_xlfn.LET(
  _xlpm.ids, VALUE(_xlfn.TEXTSPLIT(SUBSTITUTE(A5,",",";"),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 s="44" t="s">
        <v>93</v>
      </c>
      <c r="D5" s="10" t="s">
        <v>1183</v>
      </c>
      <c r="E5" s="8" t="s">
        <v>757</v>
      </c>
      <c r="F5" s="8"/>
      <c r="G5" s="10" t="s">
        <v>115</v>
      </c>
      <c r="H5" s="10"/>
      <c r="I5" s="10"/>
      <c r="J5" s="4" t="s">
        <v>765</v>
      </c>
      <c r="K5" s="4" t="s">
        <v>151</v>
      </c>
      <c r="L5" s="10"/>
      <c r="M5" s="10"/>
    </row>
    <row r="6" spans="1:16" ht="15" customHeight="1" x14ac:dyDescent="0.25">
      <c r="A6" s="44">
        <v>13</v>
      </c>
      <c r="B6" s="44" t="b" cm="1">
        <f t="array" ref="B6">_xlfn.LET(
  _xlpm.ids, VALUE(_xlfn.TEXTSPLIT(SUBSTITUTE(A6,",",";"),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 s="44" t="s">
        <v>93</v>
      </c>
      <c r="D6" s="10" t="s">
        <v>1183</v>
      </c>
      <c r="E6" s="8" t="s">
        <v>757</v>
      </c>
      <c r="F6" s="8"/>
      <c r="G6" s="10" t="s">
        <v>115</v>
      </c>
      <c r="H6" s="10"/>
      <c r="I6" s="10"/>
      <c r="J6" s="4" t="s">
        <v>776</v>
      </c>
      <c r="K6" s="4" t="s">
        <v>151</v>
      </c>
      <c r="L6" s="10"/>
      <c r="M6" s="10"/>
    </row>
    <row r="7" spans="1:16" ht="15" customHeight="1" x14ac:dyDescent="0.25">
      <c r="A7" s="44">
        <v>7</v>
      </c>
      <c r="B7" s="44" t="b" cm="1">
        <f t="array" ref="B7">_xlfn.LET(
  _xlpm.ids, VALUE(_xlfn.TEXTSPLIT(SUBSTITUTE(A7,",",";"),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 s="44" t="s">
        <v>93</v>
      </c>
      <c r="D7" s="10"/>
      <c r="E7" s="10" t="s">
        <v>546</v>
      </c>
      <c r="F7" s="10"/>
      <c r="G7" s="10" t="s">
        <v>179</v>
      </c>
      <c r="H7" s="10"/>
      <c r="I7" s="10"/>
      <c r="J7" s="4" t="s">
        <v>559</v>
      </c>
      <c r="K7" s="4" t="s">
        <v>153</v>
      </c>
      <c r="L7" s="10"/>
      <c r="M7" s="10"/>
    </row>
    <row r="8" spans="1:16" ht="15" customHeight="1" x14ac:dyDescent="0.25">
      <c r="A8" s="45">
        <v>27</v>
      </c>
      <c r="B8" s="45" t="b" cm="1">
        <f t="array" ref="B8">_xlfn.LET(
  _xlpm.ids, VALUE(_xlfn.TEXTSPLIT(SUBSTITUTE(A8,",",";"),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 s="45" t="s">
        <v>93</v>
      </c>
      <c r="D8" s="8" t="s">
        <v>203</v>
      </c>
      <c r="E8" s="8" t="s">
        <v>379</v>
      </c>
      <c r="F8" s="8"/>
      <c r="G8" s="8" t="s">
        <v>216</v>
      </c>
      <c r="H8" s="8"/>
      <c r="I8" s="8"/>
      <c r="J8" s="8" t="s">
        <v>516</v>
      </c>
      <c r="K8" s="8"/>
      <c r="L8" s="8"/>
      <c r="M8" s="8"/>
    </row>
    <row r="9" spans="1:16" ht="15" customHeight="1" x14ac:dyDescent="0.25">
      <c r="A9" s="44">
        <v>18</v>
      </c>
      <c r="B9" s="44" t="b" cm="1">
        <f t="array" ref="B9">_xlfn.LET(
  _xlpm.ids, VALUE(_xlfn.TEXTSPLIT(SUBSTITUTE(A9,",",";"),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 s="44" t="s">
        <v>93</v>
      </c>
      <c r="D9" s="10" t="s">
        <v>1180</v>
      </c>
      <c r="E9" s="10" t="s">
        <v>344</v>
      </c>
      <c r="F9" s="10"/>
      <c r="G9" s="10" t="s">
        <v>275</v>
      </c>
      <c r="H9" s="10"/>
      <c r="I9" s="10"/>
      <c r="J9" s="4" t="s">
        <v>613</v>
      </c>
      <c r="K9" s="4" t="s">
        <v>292</v>
      </c>
      <c r="L9" s="10"/>
      <c r="M9" s="10"/>
    </row>
    <row r="10" spans="1:16" ht="15" customHeight="1" x14ac:dyDescent="0.25">
      <c r="A10" s="55">
        <v>12</v>
      </c>
      <c r="B10" s="55" t="b" cm="1">
        <f t="array" ref="B10">_xlfn.LET(
  _xlpm.ids, VALUE(_xlfn.TEXTSPLIT(SUBSTITUTE(A10,",",";"),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 s="55" t="s">
        <v>93</v>
      </c>
      <c r="D10" s="15" t="s">
        <v>1180</v>
      </c>
      <c r="E10" s="15" t="s">
        <v>344</v>
      </c>
      <c r="F10" s="15"/>
      <c r="G10" s="15" t="s">
        <v>115</v>
      </c>
      <c r="H10" s="15"/>
      <c r="I10" s="15"/>
      <c r="J10" s="15" t="s">
        <v>607</v>
      </c>
      <c r="K10" s="15" t="s">
        <v>202</v>
      </c>
      <c r="L10" s="15"/>
      <c r="M10" s="15"/>
    </row>
    <row r="11" spans="1:16" ht="15" customHeight="1" x14ac:dyDescent="0.25">
      <c r="A11" s="45">
        <v>27</v>
      </c>
      <c r="B11" s="45" t="b" cm="1">
        <f t="array" ref="B11">_xlfn.LET(
  _xlpm.ids, VALUE(_xlfn.TEXTSPLIT(SUBSTITUTE(A11,",",";"),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 s="45" t="s">
        <v>93</v>
      </c>
      <c r="D11" s="16" t="s">
        <v>95</v>
      </c>
      <c r="E11" s="16"/>
      <c r="F11" s="16"/>
      <c r="G11" s="16" t="s">
        <v>216</v>
      </c>
      <c r="H11" s="16"/>
      <c r="I11" s="16"/>
      <c r="J11" s="8" t="s">
        <v>498</v>
      </c>
      <c r="K11" s="8"/>
      <c r="L11" s="17"/>
      <c r="M11" s="8"/>
    </row>
    <row r="12" spans="1:16" ht="15" customHeight="1" x14ac:dyDescent="0.25">
      <c r="A12" s="44">
        <v>18</v>
      </c>
      <c r="B12" s="44" t="b" cm="1">
        <f t="array" ref="B12">_xlfn.LET(
  _xlpm.ids, VALUE(_xlfn.TEXTSPLIT(SUBSTITUTE(A12,",",";"),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 s="44" t="s">
        <v>93</v>
      </c>
      <c r="D12" s="10" t="s">
        <v>1158</v>
      </c>
      <c r="E12" s="10"/>
      <c r="F12" s="10"/>
      <c r="G12" s="10" t="s">
        <v>216</v>
      </c>
      <c r="H12" s="10"/>
      <c r="I12" s="10"/>
      <c r="J12" s="4" t="s">
        <v>917</v>
      </c>
      <c r="K12" s="4" t="s">
        <v>292</v>
      </c>
      <c r="L12" s="10"/>
      <c r="M12" s="10" t="s">
        <v>476</v>
      </c>
    </row>
    <row r="13" spans="1:16" ht="15" customHeight="1" x14ac:dyDescent="0.25">
      <c r="A13" s="45">
        <v>34</v>
      </c>
      <c r="B13" s="45" t="b" cm="1">
        <f t="array" ref="B13">_xlfn.LET(
  _xlpm.ids, VALUE(_xlfn.TEXTSPLIT(SUBSTITUTE(A13,",",";"),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 s="45" t="s">
        <v>93</v>
      </c>
      <c r="D13" s="15" t="s">
        <v>1180</v>
      </c>
      <c r="E13" s="15" t="s">
        <v>344</v>
      </c>
      <c r="F13" s="15"/>
      <c r="G13" s="8" t="s">
        <v>290</v>
      </c>
      <c r="H13" s="8"/>
      <c r="I13" s="8"/>
      <c r="J13" s="8" t="s">
        <v>610</v>
      </c>
      <c r="K13" s="8" t="s">
        <v>177</v>
      </c>
      <c r="L13" s="8"/>
      <c r="M13" s="8"/>
    </row>
    <row r="14" spans="1:16" ht="15" customHeight="1" x14ac:dyDescent="0.25">
      <c r="A14" s="55">
        <v>11</v>
      </c>
      <c r="B14" s="55" t="b" cm="1">
        <f t="array" ref="B14">_xlfn.LET(
  _xlpm.ids, VALUE(_xlfn.TEXTSPLIT(SUBSTITUTE(A14,",",";"),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4" s="55" t="s">
        <v>93</v>
      </c>
      <c r="D14" s="8" t="s">
        <v>203</v>
      </c>
      <c r="E14" s="15" t="s">
        <v>1184</v>
      </c>
      <c r="F14" s="15"/>
      <c r="G14" s="15" t="s">
        <v>290</v>
      </c>
      <c r="H14" s="15"/>
      <c r="I14" s="15"/>
      <c r="J14" s="15" t="s">
        <v>802</v>
      </c>
      <c r="K14" s="15" t="s">
        <v>313</v>
      </c>
      <c r="L14" s="15"/>
      <c r="M14" s="15"/>
    </row>
    <row r="15" spans="1:16" ht="15" customHeight="1" x14ac:dyDescent="0.25">
      <c r="A15" s="44">
        <v>6</v>
      </c>
      <c r="B15" s="44" t="b" cm="1">
        <f t="array" ref="B15">_xlfn.LET(
  _xlpm.ids, VALUE(_xlfn.TEXTSPLIT(SUBSTITUTE(A15,",",";"),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 s="44" t="s">
        <v>93</v>
      </c>
      <c r="D15" s="8" t="s">
        <v>203</v>
      </c>
      <c r="E15" s="10" t="s">
        <v>1185</v>
      </c>
      <c r="F15" s="10"/>
      <c r="G15" s="10" t="s">
        <v>115</v>
      </c>
      <c r="H15" s="10"/>
      <c r="I15" s="10"/>
      <c r="J15" s="4" t="s">
        <v>785</v>
      </c>
      <c r="K15" s="4" t="s">
        <v>119</v>
      </c>
      <c r="L15" s="10"/>
      <c r="M15" s="10" t="s">
        <v>262</v>
      </c>
    </row>
    <row r="16" spans="1:16" ht="15" customHeight="1" x14ac:dyDescent="0.25">
      <c r="A16" s="45">
        <v>23</v>
      </c>
      <c r="B16" s="45" t="b" cm="1">
        <f t="array" ref="B16">_xlfn.LET(
  _xlpm.ids, VALUE(_xlfn.TEXTSPLIT(SUBSTITUTE(A16,",",";"),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 s="45" t="s">
        <v>93</v>
      </c>
      <c r="D16" s="8" t="s">
        <v>805</v>
      </c>
      <c r="E16" s="8" t="s">
        <v>248</v>
      </c>
      <c r="F16" s="8"/>
      <c r="G16" s="8" t="s">
        <v>115</v>
      </c>
      <c r="H16" s="8"/>
      <c r="I16" s="8"/>
      <c r="J16" s="8" t="s">
        <v>266</v>
      </c>
      <c r="K16" s="8" t="s">
        <v>267</v>
      </c>
      <c r="L16" s="8"/>
      <c r="M16" s="8"/>
    </row>
    <row r="17" spans="1:13" ht="15" customHeight="1" x14ac:dyDescent="0.25">
      <c r="A17" s="45">
        <v>23</v>
      </c>
      <c r="B17" s="45" t="b" cm="1">
        <f t="array" ref="B17">_xlfn.LET(
  _xlpm.ids, VALUE(_xlfn.TEXTSPLIT(SUBSTITUTE(A17,",",";"),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7" s="45" t="s">
        <v>93</v>
      </c>
      <c r="D17" s="8" t="s">
        <v>805</v>
      </c>
      <c r="E17" s="8" t="s">
        <v>248</v>
      </c>
      <c r="F17" s="8"/>
      <c r="G17" s="8" t="s">
        <v>115</v>
      </c>
      <c r="H17" s="8"/>
      <c r="I17" s="8"/>
      <c r="J17" s="8" t="s">
        <v>253</v>
      </c>
      <c r="K17" s="8" t="s">
        <v>250</v>
      </c>
      <c r="L17" s="8"/>
      <c r="M17" s="8"/>
    </row>
    <row r="18" spans="1:13" ht="15" customHeight="1" x14ac:dyDescent="0.25">
      <c r="A18" s="45">
        <v>23</v>
      </c>
      <c r="B18" s="45" t="b" cm="1">
        <f t="array" ref="B18">_xlfn.LET(
  _xlpm.ids, VALUE(_xlfn.TEXTSPLIT(SUBSTITUTE(A18,",",";"),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8" s="45" t="s">
        <v>93</v>
      </c>
      <c r="D18" s="8" t="s">
        <v>805</v>
      </c>
      <c r="E18" s="8" t="s">
        <v>248</v>
      </c>
      <c r="F18" s="8"/>
      <c r="G18" s="8" t="s">
        <v>115</v>
      </c>
      <c r="H18" s="8"/>
      <c r="I18" s="8"/>
      <c r="J18" s="8" t="s">
        <v>254</v>
      </c>
      <c r="K18" s="8" t="s">
        <v>250</v>
      </c>
      <c r="L18" s="8"/>
      <c r="M18" s="8"/>
    </row>
    <row r="19" spans="1:13" ht="15" customHeight="1" x14ac:dyDescent="0.25">
      <c r="A19" s="45">
        <v>23</v>
      </c>
      <c r="B19" s="45" t="b" cm="1">
        <f t="array" ref="B19">_xlfn.LET(
  _xlpm.ids, VALUE(_xlfn.TEXTSPLIT(SUBSTITUTE(A19,",",";"),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9" s="45" t="s">
        <v>93</v>
      </c>
      <c r="D19" s="8" t="s">
        <v>805</v>
      </c>
      <c r="E19" s="8" t="s">
        <v>1051</v>
      </c>
      <c r="F19" s="8"/>
      <c r="G19" s="8" t="s">
        <v>115</v>
      </c>
      <c r="H19" s="8"/>
      <c r="I19" s="8"/>
      <c r="J19" s="8" t="s">
        <v>517</v>
      </c>
      <c r="K19" s="8" t="s">
        <v>205</v>
      </c>
      <c r="L19" s="8"/>
      <c r="M19" s="8"/>
    </row>
    <row r="20" spans="1:13" ht="15" customHeight="1" x14ac:dyDescent="0.25">
      <c r="A20" s="45">
        <v>23</v>
      </c>
      <c r="B20" s="45" t="b" cm="1">
        <f t="array" ref="B20">_xlfn.LET(
  _xlpm.ids, VALUE(_xlfn.TEXTSPLIT(SUBSTITUTE(A20,",",";"),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0" s="45" t="s">
        <v>93</v>
      </c>
      <c r="D20" s="8" t="s">
        <v>805</v>
      </c>
      <c r="E20" s="10" t="s">
        <v>248</v>
      </c>
      <c r="F20" s="10"/>
      <c r="G20" s="8" t="s">
        <v>110</v>
      </c>
      <c r="H20" s="8"/>
      <c r="I20" s="8"/>
      <c r="J20" s="8" t="s">
        <v>257</v>
      </c>
      <c r="K20" s="8" t="s">
        <v>258</v>
      </c>
      <c r="L20" s="8"/>
      <c r="M20" s="8"/>
    </row>
    <row r="21" spans="1:13" ht="15" customHeight="1" x14ac:dyDescent="0.25">
      <c r="A21" s="45">
        <v>23</v>
      </c>
      <c r="B21" s="45" t="b" cm="1">
        <f t="array" ref="B21">_xlfn.LET(
  _xlpm.ids, VALUE(_xlfn.TEXTSPLIT(SUBSTITUTE(A21,",",";"),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1" s="45" t="s">
        <v>93</v>
      </c>
      <c r="D21" s="8" t="s">
        <v>805</v>
      </c>
      <c r="E21" s="10" t="s">
        <v>248</v>
      </c>
      <c r="F21" s="10"/>
      <c r="G21" s="10" t="s">
        <v>115</v>
      </c>
      <c r="H21" s="10"/>
      <c r="I21" s="10"/>
      <c r="J21" s="8" t="s">
        <v>251</v>
      </c>
      <c r="K21" s="8" t="s">
        <v>250</v>
      </c>
      <c r="L21" s="8"/>
      <c r="M21" s="8"/>
    </row>
    <row r="22" spans="1:13" ht="15" customHeight="1" x14ac:dyDescent="0.25">
      <c r="A22" s="45">
        <v>23</v>
      </c>
      <c r="B22" s="45" t="b" cm="1">
        <f t="array" ref="B22">_xlfn.LET(
  _xlpm.ids, VALUE(_xlfn.TEXTSPLIT(SUBSTITUTE(A22,",",";"),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2" s="45" t="s">
        <v>93</v>
      </c>
      <c r="D22" s="8" t="s">
        <v>805</v>
      </c>
      <c r="E22" s="8" t="s">
        <v>798</v>
      </c>
      <c r="F22" s="8"/>
      <c r="G22" s="8" t="s">
        <v>110</v>
      </c>
      <c r="H22" s="8"/>
      <c r="I22" s="8"/>
      <c r="J22" s="8" t="s">
        <v>867</v>
      </c>
      <c r="K22" s="8" t="s">
        <v>250</v>
      </c>
      <c r="L22" s="8"/>
      <c r="M22" s="8"/>
    </row>
    <row r="23" spans="1:13" ht="15" customHeight="1" x14ac:dyDescent="0.25">
      <c r="A23" s="45">
        <v>23</v>
      </c>
      <c r="B23" s="45" t="b" cm="1">
        <f t="array" ref="B23">_xlfn.LET(
  _xlpm.ids, VALUE(_xlfn.TEXTSPLIT(SUBSTITUTE(A23,",",";"),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3" s="45" t="s">
        <v>93</v>
      </c>
      <c r="D23" s="8" t="s">
        <v>805</v>
      </c>
      <c r="E23" s="8" t="s">
        <v>1186</v>
      </c>
      <c r="F23" s="8"/>
      <c r="G23" s="8" t="s">
        <v>115</v>
      </c>
      <c r="H23" s="8"/>
      <c r="I23" s="8"/>
      <c r="J23" s="8" t="s">
        <v>507</v>
      </c>
      <c r="K23" s="8" t="s">
        <v>508</v>
      </c>
      <c r="L23" s="8"/>
      <c r="M23" s="8"/>
    </row>
    <row r="24" spans="1:13" ht="15" customHeight="1" x14ac:dyDescent="0.25">
      <c r="A24" s="45">
        <v>23</v>
      </c>
      <c r="B24" s="45" t="b" cm="1">
        <f t="array" ref="B24">_xlfn.LET(
  _xlpm.ids, VALUE(_xlfn.TEXTSPLIT(SUBSTITUTE(A24,",",";"),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4" s="45" t="s">
        <v>93</v>
      </c>
      <c r="D24" s="8" t="s">
        <v>805</v>
      </c>
      <c r="E24" s="8" t="s">
        <v>1186</v>
      </c>
      <c r="F24" s="8"/>
      <c r="G24" s="8" t="s">
        <v>115</v>
      </c>
      <c r="H24" s="8"/>
      <c r="I24" s="8"/>
      <c r="J24" s="8" t="s">
        <v>505</v>
      </c>
      <c r="K24" s="8" t="s">
        <v>506</v>
      </c>
      <c r="L24" s="8"/>
      <c r="M24" s="8"/>
    </row>
    <row r="25" spans="1:13" ht="15" customHeight="1" x14ac:dyDescent="0.25">
      <c r="A25" s="45">
        <v>23</v>
      </c>
      <c r="B25" s="45" t="b" cm="1">
        <f t="array" ref="B25">_xlfn.LET(
  _xlpm.ids, VALUE(_xlfn.TEXTSPLIT(SUBSTITUTE(A25,",",";"),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5" s="45" t="s">
        <v>93</v>
      </c>
      <c r="D25" s="8" t="s">
        <v>805</v>
      </c>
      <c r="E25" s="8"/>
      <c r="F25" s="8"/>
      <c r="G25" s="8" t="s">
        <v>110</v>
      </c>
      <c r="H25" s="8"/>
      <c r="I25" s="8"/>
      <c r="J25" s="8" t="s">
        <v>204</v>
      </c>
      <c r="K25" s="8" t="s">
        <v>205</v>
      </c>
      <c r="L25" s="8"/>
      <c r="M25" s="8"/>
    </row>
    <row r="26" spans="1:13" ht="15" customHeight="1" x14ac:dyDescent="0.25">
      <c r="A26" s="45">
        <v>23</v>
      </c>
      <c r="B26" s="45" t="b" cm="1">
        <f t="array" ref="B26">_xlfn.LET(
  _xlpm.ids, VALUE(_xlfn.TEXTSPLIT(SUBSTITUTE(A26,",",";"),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6" s="45" t="s">
        <v>93</v>
      </c>
      <c r="D26" s="8" t="s">
        <v>805</v>
      </c>
      <c r="E26" s="8" t="s">
        <v>1186</v>
      </c>
      <c r="F26" s="8"/>
      <c r="G26" s="8" t="s">
        <v>175</v>
      </c>
      <c r="H26" s="8"/>
      <c r="I26" s="8"/>
      <c r="J26" s="8" t="s">
        <v>514</v>
      </c>
      <c r="K26" s="8" t="s">
        <v>515</v>
      </c>
      <c r="L26" s="8"/>
      <c r="M26" s="8"/>
    </row>
    <row r="27" spans="1:13" ht="15" customHeight="1" x14ac:dyDescent="0.25">
      <c r="A27" s="45">
        <v>23</v>
      </c>
      <c r="B27" s="45" t="b" cm="1">
        <f t="array" ref="B27">_xlfn.LET(
  _xlpm.ids, VALUE(_xlfn.TEXTSPLIT(SUBSTITUTE(A27,",",";"),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7" s="45" t="s">
        <v>93</v>
      </c>
      <c r="D27" s="8" t="s">
        <v>805</v>
      </c>
      <c r="E27" s="8" t="s">
        <v>248</v>
      </c>
      <c r="F27" s="8"/>
      <c r="G27" s="8" t="s">
        <v>115</v>
      </c>
      <c r="H27" s="8"/>
      <c r="I27" s="8"/>
      <c r="J27" s="8" t="s">
        <v>259</v>
      </c>
      <c r="K27" s="8" t="s">
        <v>250</v>
      </c>
      <c r="L27" s="8"/>
      <c r="M27" s="8"/>
    </row>
    <row r="28" spans="1:13" ht="15" customHeight="1" x14ac:dyDescent="0.25">
      <c r="A28" s="45">
        <v>23</v>
      </c>
      <c r="B28" s="45" t="b" cm="1">
        <f t="array" ref="B28">_xlfn.LET(
  _xlpm.ids, VALUE(_xlfn.TEXTSPLIT(SUBSTITUTE(A28,",",";"),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8" s="45" t="s">
        <v>93</v>
      </c>
      <c r="D28" s="8" t="s">
        <v>805</v>
      </c>
      <c r="E28" s="8" t="s">
        <v>248</v>
      </c>
      <c r="F28" s="8"/>
      <c r="G28" s="8" t="s">
        <v>115</v>
      </c>
      <c r="H28" s="8"/>
      <c r="I28" s="8"/>
      <c r="J28" s="8" t="s">
        <v>270</v>
      </c>
      <c r="K28" s="8" t="s">
        <v>250</v>
      </c>
      <c r="L28" s="8"/>
      <c r="M28" s="8"/>
    </row>
    <row r="29" spans="1:13" ht="15" customHeight="1" x14ac:dyDescent="0.25">
      <c r="A29" s="45">
        <v>23</v>
      </c>
      <c r="B29" s="45" t="b" cm="1">
        <f t="array" ref="B29">_xlfn.LET(
  _xlpm.ids, VALUE(_xlfn.TEXTSPLIT(SUBSTITUTE(A29,",",";"),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9" s="45" t="s">
        <v>93</v>
      </c>
      <c r="D29" s="8" t="s">
        <v>805</v>
      </c>
      <c r="E29" s="8" t="s">
        <v>248</v>
      </c>
      <c r="F29" s="8"/>
      <c r="G29" s="8" t="s">
        <v>115</v>
      </c>
      <c r="H29" s="8"/>
      <c r="I29" s="8"/>
      <c r="J29" s="8" t="s">
        <v>271</v>
      </c>
      <c r="K29" s="8" t="s">
        <v>250</v>
      </c>
      <c r="L29" s="8"/>
      <c r="M29" s="8"/>
    </row>
    <row r="30" spans="1:13" ht="15" customHeight="1" x14ac:dyDescent="0.25">
      <c r="A30" s="45">
        <v>23</v>
      </c>
      <c r="B30" s="45" t="b" cm="1">
        <f t="array" ref="B30">_xlfn.LET(
  _xlpm.ids, VALUE(_xlfn.TEXTSPLIT(SUBSTITUTE(A30,",",";"),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0" s="45" t="s">
        <v>93</v>
      </c>
      <c r="D30" s="8" t="s">
        <v>805</v>
      </c>
      <c r="E30" s="8" t="s">
        <v>248</v>
      </c>
      <c r="F30" s="8"/>
      <c r="G30" s="8" t="s">
        <v>115</v>
      </c>
      <c r="H30" s="8"/>
      <c r="I30" s="8"/>
      <c r="J30" s="8" t="s">
        <v>269</v>
      </c>
      <c r="K30" s="8" t="s">
        <v>250</v>
      </c>
      <c r="L30" s="8"/>
      <c r="M30" s="8"/>
    </row>
    <row r="31" spans="1:13" ht="15" customHeight="1" x14ac:dyDescent="0.25">
      <c r="A31" s="45">
        <v>23</v>
      </c>
      <c r="B31" s="45" t="b" cm="1">
        <f t="array" ref="B31">_xlfn.LET(
  _xlpm.ids, VALUE(_xlfn.TEXTSPLIT(SUBSTITUTE(A31,",",";"),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1" s="45" t="s">
        <v>93</v>
      </c>
      <c r="D31" s="8" t="s">
        <v>805</v>
      </c>
      <c r="E31" s="8" t="s">
        <v>248</v>
      </c>
      <c r="F31" s="8"/>
      <c r="G31" s="8" t="s">
        <v>115</v>
      </c>
      <c r="H31" s="8"/>
      <c r="I31" s="8"/>
      <c r="J31" s="8" t="s">
        <v>249</v>
      </c>
      <c r="K31" s="8" t="s">
        <v>250</v>
      </c>
      <c r="L31" s="8"/>
      <c r="M31" s="8"/>
    </row>
    <row r="32" spans="1:13" ht="15" customHeight="1" x14ac:dyDescent="0.25">
      <c r="A32" s="45">
        <v>23</v>
      </c>
      <c r="B32" s="45" t="b" cm="1">
        <f t="array" ref="B32">_xlfn.LET(
  _xlpm.ids, VALUE(_xlfn.TEXTSPLIT(SUBSTITUTE(A32,",",";"),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2" s="45" t="s">
        <v>93</v>
      </c>
      <c r="D32" s="8" t="s">
        <v>805</v>
      </c>
      <c r="E32" s="8" t="s">
        <v>248</v>
      </c>
      <c r="F32" s="8"/>
      <c r="G32" s="8" t="s">
        <v>115</v>
      </c>
      <c r="H32" s="8"/>
      <c r="I32" s="8"/>
      <c r="J32" s="8" t="s">
        <v>268</v>
      </c>
      <c r="K32" s="8" t="s">
        <v>250</v>
      </c>
      <c r="L32" s="8"/>
      <c r="M32" s="8"/>
    </row>
    <row r="33" spans="1:13" ht="15" customHeight="1" x14ac:dyDescent="0.25">
      <c r="A33" s="45">
        <v>23</v>
      </c>
      <c r="B33" s="45" t="b" cm="1">
        <f t="array" ref="B33">_xlfn.LET(
  _xlpm.ids, VALUE(_xlfn.TEXTSPLIT(SUBSTITUTE(A33,",",";"),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3" s="45" t="s">
        <v>93</v>
      </c>
      <c r="D33" s="8" t="s">
        <v>519</v>
      </c>
      <c r="E33" s="8" t="s">
        <v>344</v>
      </c>
      <c r="F33" s="8"/>
      <c r="G33" s="8" t="s">
        <v>231</v>
      </c>
      <c r="H33" s="8"/>
      <c r="I33" s="8"/>
      <c r="J33" s="8" t="s">
        <v>590</v>
      </c>
      <c r="K33" s="8" t="s">
        <v>250</v>
      </c>
      <c r="L33" s="8"/>
      <c r="M33" s="8"/>
    </row>
    <row r="34" spans="1:13" ht="15" customHeight="1" x14ac:dyDescent="0.25">
      <c r="A34" s="44">
        <v>6</v>
      </c>
      <c r="B34" s="44" t="b" cm="1">
        <f t="array" ref="B34">_xlfn.LET(
  _xlpm.ids, VALUE(_xlfn.TEXTSPLIT(SUBSTITUTE(A34,",",";"),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4" s="44" t="s">
        <v>93</v>
      </c>
      <c r="D34" s="8" t="s">
        <v>203</v>
      </c>
      <c r="E34" s="10" t="s">
        <v>1185</v>
      </c>
      <c r="F34" s="10"/>
      <c r="G34" s="10" t="s">
        <v>115</v>
      </c>
      <c r="H34" s="10"/>
      <c r="I34" s="10"/>
      <c r="J34" s="4" t="s">
        <v>260</v>
      </c>
      <c r="K34" s="4" t="s">
        <v>119</v>
      </c>
      <c r="L34" s="10"/>
      <c r="M34" s="10"/>
    </row>
    <row r="35" spans="1:13" ht="15" customHeight="1" x14ac:dyDescent="0.25">
      <c r="A35" s="45">
        <v>2</v>
      </c>
      <c r="B35" s="45" t="b" cm="1">
        <f t="array" ref="B35">_xlfn.LET(
  _xlpm.ids, VALUE(_xlfn.TEXTSPLIT(SUBSTITUTE(A35,",",";"),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5" s="45" t="s">
        <v>93</v>
      </c>
      <c r="D35" s="8" t="s">
        <v>203</v>
      </c>
      <c r="E35" s="8"/>
      <c r="F35" s="8"/>
      <c r="G35" s="8"/>
      <c r="H35" s="8"/>
      <c r="I35" s="8"/>
      <c r="J35" s="4" t="s">
        <v>264</v>
      </c>
      <c r="K35" s="4" t="s">
        <v>265</v>
      </c>
      <c r="L35" s="8"/>
      <c r="M35" s="8"/>
    </row>
    <row r="36" spans="1:13" ht="15" customHeight="1" x14ac:dyDescent="0.25">
      <c r="A36" s="53">
        <v>6</v>
      </c>
      <c r="B36" s="53" t="b" cm="1">
        <f t="array" ref="B36">_xlfn.LET(
  _xlpm.ids, VALUE(_xlfn.TEXTSPLIT(SUBSTITUTE(A36,",",";"),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6" s="53" t="s">
        <v>93</v>
      </c>
      <c r="D36" s="12" t="s">
        <v>109</v>
      </c>
      <c r="E36" s="12"/>
      <c r="F36" s="12"/>
      <c r="G36" s="12"/>
      <c r="H36" s="12"/>
      <c r="I36" s="12"/>
      <c r="J36" s="6" t="s">
        <v>282</v>
      </c>
      <c r="K36" s="6" t="s">
        <v>119</v>
      </c>
      <c r="L36" s="12" t="s">
        <v>283</v>
      </c>
      <c r="M36" s="12"/>
    </row>
    <row r="37" spans="1:13" ht="15" customHeight="1" x14ac:dyDescent="0.25">
      <c r="A37" s="44">
        <v>6</v>
      </c>
      <c r="B37" s="44" t="b" cm="1">
        <f t="array" ref="B37">_xlfn.LET(
  _xlpm.ids, VALUE(_xlfn.TEXTSPLIT(SUBSTITUTE(A37,",",";"),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7" s="44" t="s">
        <v>93</v>
      </c>
      <c r="D37" s="8" t="s">
        <v>203</v>
      </c>
      <c r="E37" s="10"/>
      <c r="F37" s="10"/>
      <c r="G37" s="10" t="s">
        <v>115</v>
      </c>
      <c r="H37" s="10"/>
      <c r="I37" s="10"/>
      <c r="J37" s="4" t="s">
        <v>281</v>
      </c>
      <c r="K37" s="4" t="s">
        <v>119</v>
      </c>
      <c r="L37" s="10"/>
      <c r="M37" s="10" t="s">
        <v>262</v>
      </c>
    </row>
    <row r="38" spans="1:13" ht="15" customHeight="1" x14ac:dyDescent="0.25">
      <c r="A38" s="44" t="s">
        <v>190</v>
      </c>
      <c r="B38" s="44" t="b" cm="1">
        <f t="array" ref="B38">_xlfn.LET(
  _xlpm.ids, VALUE(_xlfn.TEXTSPLIT(SUBSTITUTE(A38,",",";"),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8" s="44" t="s">
        <v>93</v>
      </c>
      <c r="D38" s="8" t="s">
        <v>203</v>
      </c>
      <c r="E38" s="10" t="s">
        <v>1185</v>
      </c>
      <c r="F38" s="10"/>
      <c r="G38" s="10" t="s">
        <v>124</v>
      </c>
      <c r="H38" s="10"/>
      <c r="I38" s="10"/>
      <c r="J38" s="4" t="s">
        <v>261</v>
      </c>
      <c r="K38" s="4" t="s">
        <v>127</v>
      </c>
      <c r="L38" s="10"/>
      <c r="M38" s="10" t="s">
        <v>262</v>
      </c>
    </row>
    <row r="39" spans="1:13" ht="15" customHeight="1" x14ac:dyDescent="0.25">
      <c r="A39" s="44">
        <v>13</v>
      </c>
      <c r="B39" s="44" t="b" cm="1">
        <f t="array" ref="B39">_xlfn.LET(
  _xlpm.ids, VALUE(_xlfn.TEXTSPLIT(SUBSTITUTE(A39,",",";"),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9" s="44" t="s">
        <v>93</v>
      </c>
      <c r="D39" s="10" t="s">
        <v>1158</v>
      </c>
      <c r="E39" s="10" t="s">
        <v>1158</v>
      </c>
      <c r="F39" s="10"/>
      <c r="G39" s="10" t="s">
        <v>569</v>
      </c>
      <c r="H39" s="10"/>
      <c r="I39" s="10"/>
      <c r="J39" s="4" t="s">
        <v>913</v>
      </c>
      <c r="K39" s="4" t="s">
        <v>151</v>
      </c>
      <c r="L39" s="10"/>
      <c r="M39" s="10"/>
    </row>
    <row r="40" spans="1:13" ht="15" customHeight="1" x14ac:dyDescent="0.25">
      <c r="A40" s="55">
        <v>10</v>
      </c>
      <c r="B40" s="55" t="b" cm="1">
        <f t="array" ref="B40">_xlfn.LET(
  _xlpm.ids, VALUE(_xlfn.TEXTSPLIT(SUBSTITUTE(A40,",",";"),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0" s="55" t="s">
        <v>93</v>
      </c>
      <c r="D40" s="8" t="s">
        <v>203</v>
      </c>
      <c r="E40" s="15" t="s">
        <v>798</v>
      </c>
      <c r="F40" s="15"/>
      <c r="G40" s="15" t="s">
        <v>290</v>
      </c>
      <c r="H40" s="15"/>
      <c r="I40" s="15"/>
      <c r="J40" s="15" t="s">
        <v>871</v>
      </c>
      <c r="K40" s="15" t="s">
        <v>148</v>
      </c>
      <c r="L40" s="15"/>
      <c r="M40" s="15"/>
    </row>
    <row r="41" spans="1:13" ht="15" customHeight="1" x14ac:dyDescent="0.25">
      <c r="A41" s="45">
        <v>30</v>
      </c>
      <c r="B41" s="45" t="b" cm="1">
        <f t="array" ref="B41">_xlfn.LET(
  _xlpm.ids, VALUE(_xlfn.TEXTSPLIT(SUBSTITUTE(A41,",",";"),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1" s="45" t="s">
        <v>93</v>
      </c>
      <c r="D41" s="18" t="s">
        <v>805</v>
      </c>
      <c r="E41" s="18" t="s">
        <v>1187</v>
      </c>
      <c r="F41" s="18"/>
      <c r="G41" s="18" t="s">
        <v>110</v>
      </c>
      <c r="H41" s="18"/>
      <c r="I41" s="18"/>
      <c r="J41" s="8" t="s">
        <v>870</v>
      </c>
      <c r="K41" s="8" t="s">
        <v>511</v>
      </c>
      <c r="L41" s="19"/>
      <c r="M41" s="8"/>
    </row>
    <row r="42" spans="1:13" ht="15" customHeight="1" x14ac:dyDescent="0.25">
      <c r="A42" s="45">
        <v>1</v>
      </c>
      <c r="B42" s="45" t="b" cm="1">
        <f t="array" ref="B42">_xlfn.LET(
  _xlpm.ids, VALUE(_xlfn.TEXTSPLIT(SUBSTITUTE(A42,",",";"),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2" s="45" t="s">
        <v>93</v>
      </c>
      <c r="D42" s="8" t="s">
        <v>203</v>
      </c>
      <c r="E42" s="8" t="s">
        <v>798</v>
      </c>
      <c r="F42" s="8"/>
      <c r="G42" s="8" t="s">
        <v>872</v>
      </c>
      <c r="H42" s="8"/>
      <c r="I42" s="8"/>
      <c r="J42" s="4" t="s">
        <v>873</v>
      </c>
      <c r="K42" s="4" t="s">
        <v>263</v>
      </c>
      <c r="L42" s="8"/>
      <c r="M42" s="8"/>
    </row>
    <row r="43" spans="1:13" ht="15" customHeight="1" x14ac:dyDescent="0.25">
      <c r="A43" s="45">
        <v>26</v>
      </c>
      <c r="B43" s="45" t="b" cm="1">
        <f t="array" ref="B43">_xlfn.LET(
  _xlpm.ids, VALUE(_xlfn.TEXTSPLIT(SUBSTITUTE(A43,",",";"),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3" s="45" t="s">
        <v>93</v>
      </c>
      <c r="D43" s="8" t="s">
        <v>1158</v>
      </c>
      <c r="E43" s="8" t="s">
        <v>1158</v>
      </c>
      <c r="F43" s="8"/>
      <c r="G43" s="8" t="s">
        <v>115</v>
      </c>
      <c r="H43" s="8"/>
      <c r="I43" s="8"/>
      <c r="J43" s="8" t="s">
        <v>916</v>
      </c>
      <c r="K43" s="8" t="s">
        <v>134</v>
      </c>
      <c r="L43" s="8"/>
      <c r="M43" s="8"/>
    </row>
    <row r="44" spans="1:13" ht="15" customHeight="1" x14ac:dyDescent="0.25">
      <c r="A44" s="44" t="s">
        <v>190</v>
      </c>
      <c r="B44" s="44" t="b" cm="1">
        <f t="array" ref="B44">_xlfn.LET(
  _xlpm.ids, VALUE(_xlfn.TEXTSPLIT(SUBSTITUTE(A44,",",";"),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4" s="44" t="s">
        <v>93</v>
      </c>
      <c r="D44" s="20" t="s">
        <v>1149</v>
      </c>
      <c r="E44" s="20" t="s">
        <v>1149</v>
      </c>
      <c r="F44" s="20"/>
      <c r="G44" s="8" t="s">
        <v>216</v>
      </c>
      <c r="H44" s="8"/>
      <c r="I44" s="8"/>
      <c r="J44" s="4" t="s">
        <v>719</v>
      </c>
      <c r="K44" s="4" t="s">
        <v>127</v>
      </c>
      <c r="L44" s="8"/>
      <c r="M44" s="8"/>
    </row>
    <row r="45" spans="1:13" ht="15" customHeight="1" x14ac:dyDescent="0.25">
      <c r="A45" s="47">
        <v>30</v>
      </c>
      <c r="B45" s="47" t="b" cm="1">
        <f t="array" ref="B45">_xlfn.LET(
  _xlpm.ids, VALUE(_xlfn.TEXTSPLIT(SUBSTITUTE(A45,",",";"),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5" s="47" t="s">
        <v>93</v>
      </c>
      <c r="D45" s="22" t="s">
        <v>805</v>
      </c>
      <c r="E45" s="22" t="s">
        <v>124</v>
      </c>
      <c r="F45" s="22"/>
      <c r="G45" s="22" t="s">
        <v>115</v>
      </c>
      <c r="H45" s="22"/>
      <c r="I45" s="22"/>
      <c r="J45" s="21" t="s">
        <v>124</v>
      </c>
      <c r="K45" s="21" t="s">
        <v>511</v>
      </c>
      <c r="L45" s="23"/>
      <c r="M45" s="21"/>
    </row>
    <row r="46" spans="1:13" ht="15" customHeight="1" x14ac:dyDescent="0.25">
      <c r="A46" s="47">
        <v>30</v>
      </c>
      <c r="B46" s="47" t="b" cm="1">
        <f t="array" ref="B46">_xlfn.LET(
  _xlpm.ids, VALUE(_xlfn.TEXTSPLIT(SUBSTITUTE(A46,",",";"),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6" s="47" t="s">
        <v>93</v>
      </c>
      <c r="D46" s="22" t="s">
        <v>805</v>
      </c>
      <c r="E46" s="22" t="s">
        <v>1187</v>
      </c>
      <c r="F46" s="22"/>
      <c r="G46" s="22" t="s">
        <v>110</v>
      </c>
      <c r="H46" s="22"/>
      <c r="I46" s="22"/>
      <c r="J46" s="21" t="s">
        <v>875</v>
      </c>
      <c r="K46" s="21" t="s">
        <v>511</v>
      </c>
      <c r="L46" s="23"/>
      <c r="M46" s="21"/>
    </row>
    <row r="47" spans="1:13" ht="15" customHeight="1" x14ac:dyDescent="0.25">
      <c r="A47" s="44">
        <v>20</v>
      </c>
      <c r="B47" s="44" t="b" cm="1">
        <f t="array" ref="B47">_xlfn.LET(
  _xlpm.ids, VALUE(_xlfn.TEXTSPLIT(SUBSTITUTE(A47,",",";"),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7" s="44" t="s">
        <v>93</v>
      </c>
      <c r="D47" s="8" t="s">
        <v>203</v>
      </c>
      <c r="E47" s="10"/>
      <c r="F47" s="10"/>
      <c r="G47" s="10" t="s">
        <v>290</v>
      </c>
      <c r="H47" s="10"/>
      <c r="I47" s="10"/>
      <c r="J47" s="4" t="s">
        <v>500</v>
      </c>
      <c r="K47" s="4" t="s">
        <v>355</v>
      </c>
      <c r="L47" s="10"/>
      <c r="M47" s="10" t="s">
        <v>501</v>
      </c>
    </row>
    <row r="48" spans="1:13" ht="15" customHeight="1" x14ac:dyDescent="0.25">
      <c r="A48" s="44">
        <v>20</v>
      </c>
      <c r="B48" s="44" t="b" cm="1">
        <f t="array" ref="B48">_xlfn.LET(
  _xlpm.ids, VALUE(_xlfn.TEXTSPLIT(SUBSTITUTE(A48,",",";"),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8" s="44" t="s">
        <v>93</v>
      </c>
      <c r="D48" s="8" t="s">
        <v>203</v>
      </c>
      <c r="E48" s="10" t="s">
        <v>1184</v>
      </c>
      <c r="F48" s="10"/>
      <c r="G48" s="10" t="s">
        <v>290</v>
      </c>
      <c r="H48" s="10"/>
      <c r="I48" s="10"/>
      <c r="J48" s="4" t="s">
        <v>863</v>
      </c>
      <c r="K48" s="4" t="s">
        <v>355</v>
      </c>
      <c r="L48" s="10" t="s">
        <v>864</v>
      </c>
      <c r="M48" s="10"/>
    </row>
    <row r="49" spans="1:13" ht="15" customHeight="1" x14ac:dyDescent="0.25">
      <c r="A49" s="44">
        <v>18</v>
      </c>
      <c r="B49" s="44" t="b" cm="1">
        <f t="array" ref="B49">_xlfn.LET(
  _xlpm.ids, VALUE(_xlfn.TEXTSPLIT(SUBSTITUTE(A49,",",";"),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9" s="44" t="s">
        <v>93</v>
      </c>
      <c r="D49" s="8" t="s">
        <v>203</v>
      </c>
      <c r="E49" s="10" t="s">
        <v>1184</v>
      </c>
      <c r="F49" s="10"/>
      <c r="G49" s="10" t="s">
        <v>290</v>
      </c>
      <c r="H49" s="10"/>
      <c r="I49" s="10"/>
      <c r="J49" s="4" t="s">
        <v>866</v>
      </c>
      <c r="K49" s="4" t="s">
        <v>292</v>
      </c>
      <c r="L49" s="10"/>
      <c r="M49" s="10"/>
    </row>
    <row r="50" spans="1:13" ht="15" customHeight="1" x14ac:dyDescent="0.25">
      <c r="A50" s="44">
        <v>20</v>
      </c>
      <c r="B50" s="44" t="b" cm="1">
        <f t="array" ref="B50">_xlfn.LET(
  _xlpm.ids, VALUE(_xlfn.TEXTSPLIT(SUBSTITUTE(A50,",",";"),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0" s="44" t="s">
        <v>93</v>
      </c>
      <c r="D50" s="10" t="s">
        <v>519</v>
      </c>
      <c r="E50" s="10" t="s">
        <v>344</v>
      </c>
      <c r="F50" s="10"/>
      <c r="G50" s="10" t="s">
        <v>290</v>
      </c>
      <c r="H50" s="10"/>
      <c r="I50" s="10"/>
      <c r="J50" s="4" t="s">
        <v>591</v>
      </c>
      <c r="K50" s="4" t="s">
        <v>355</v>
      </c>
      <c r="L50" s="10"/>
      <c r="M50" s="10"/>
    </row>
    <row r="51" spans="1:13" ht="15" customHeight="1" x14ac:dyDescent="0.25">
      <c r="A51" s="44">
        <v>18</v>
      </c>
      <c r="B51" s="44" t="b" cm="1">
        <f t="array" ref="B51">_xlfn.LET(
  _xlpm.ids, VALUE(_xlfn.TEXTSPLIT(SUBSTITUTE(A51,",",";"),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1" s="44" t="s">
        <v>93</v>
      </c>
      <c r="D51" s="8" t="s">
        <v>203</v>
      </c>
      <c r="E51" s="10" t="s">
        <v>1184</v>
      </c>
      <c r="F51" s="10"/>
      <c r="G51" s="10" t="s">
        <v>290</v>
      </c>
      <c r="H51" s="10"/>
      <c r="I51" s="10"/>
      <c r="J51" s="4" t="s">
        <v>877</v>
      </c>
      <c r="K51" s="4" t="s">
        <v>292</v>
      </c>
      <c r="L51" s="10"/>
      <c r="M51" s="10"/>
    </row>
    <row r="52" spans="1:13" ht="15" customHeight="1" x14ac:dyDescent="0.25">
      <c r="A52" s="44">
        <v>18</v>
      </c>
      <c r="B52" s="44" t="b" cm="1">
        <f t="array" ref="B52">_xlfn.LET(
  _xlpm.ids, VALUE(_xlfn.TEXTSPLIT(SUBSTITUTE(A52,",",";"),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2" s="44" t="s">
        <v>93</v>
      </c>
      <c r="D52" s="8" t="s">
        <v>203</v>
      </c>
      <c r="E52" s="10" t="s">
        <v>1184</v>
      </c>
      <c r="F52" s="10"/>
      <c r="G52" s="10" t="s">
        <v>290</v>
      </c>
      <c r="H52" s="10"/>
      <c r="I52" s="10"/>
      <c r="J52" s="4" t="s">
        <v>879</v>
      </c>
      <c r="K52" s="4" t="s">
        <v>292</v>
      </c>
      <c r="L52" s="10"/>
      <c r="M52" s="10"/>
    </row>
    <row r="53" spans="1:13" ht="15" customHeight="1" x14ac:dyDescent="0.25">
      <c r="A53" s="44">
        <v>19</v>
      </c>
      <c r="B53" s="44" t="b" cm="1">
        <f t="array" ref="B53">_xlfn.LET(
  _xlpm.ids, VALUE(_xlfn.TEXTSPLIT(SUBSTITUTE(A53,",",";"),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3" s="44" t="s">
        <v>93</v>
      </c>
      <c r="D53" s="10" t="s">
        <v>1180</v>
      </c>
      <c r="E53" s="10" t="s">
        <v>344</v>
      </c>
      <c r="F53" s="10"/>
      <c r="G53" s="10" t="s">
        <v>290</v>
      </c>
      <c r="H53" s="10"/>
      <c r="I53" s="10"/>
      <c r="J53" s="4" t="s">
        <v>600</v>
      </c>
      <c r="K53" s="4" t="s">
        <v>309</v>
      </c>
      <c r="L53" s="10"/>
      <c r="M53" s="10"/>
    </row>
    <row r="54" spans="1:13" ht="15" customHeight="1" x14ac:dyDescent="0.25">
      <c r="A54" s="44">
        <v>20</v>
      </c>
      <c r="B54" s="44" t="b" cm="1">
        <f t="array" ref="B54">_xlfn.LET(
  _xlpm.ids, VALUE(_xlfn.TEXTSPLIT(SUBSTITUTE(A54,",",";"),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4" s="44" t="s">
        <v>93</v>
      </c>
      <c r="D54" s="10" t="s">
        <v>1180</v>
      </c>
      <c r="E54" s="10" t="s">
        <v>757</v>
      </c>
      <c r="F54" s="10"/>
      <c r="G54" s="10" t="s">
        <v>290</v>
      </c>
      <c r="H54" s="10"/>
      <c r="I54" s="10"/>
      <c r="J54" s="4" t="s">
        <v>771</v>
      </c>
      <c r="K54" s="4" t="s">
        <v>355</v>
      </c>
      <c r="L54" s="10"/>
      <c r="M54" s="10"/>
    </row>
    <row r="55" spans="1:13" ht="15" customHeight="1" x14ac:dyDescent="0.25">
      <c r="A55" s="45">
        <v>30</v>
      </c>
      <c r="B55" s="45" t="b" cm="1">
        <f t="array" ref="B55">_xlfn.LET(
  _xlpm.ids, VALUE(_xlfn.TEXTSPLIT(SUBSTITUTE(A55,",",";"),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5" s="45" t="s">
        <v>93</v>
      </c>
      <c r="D55" s="18" t="s">
        <v>805</v>
      </c>
      <c r="E55" s="18" t="s">
        <v>1051</v>
      </c>
      <c r="F55" s="18"/>
      <c r="G55" s="18" t="s">
        <v>110</v>
      </c>
      <c r="H55" s="18"/>
      <c r="I55" s="18"/>
      <c r="J55" s="8" t="s">
        <v>510</v>
      </c>
      <c r="K55" s="8" t="s">
        <v>511</v>
      </c>
      <c r="L55" s="19"/>
      <c r="M55" s="8"/>
    </row>
    <row r="56" spans="1:13" ht="15" customHeight="1" x14ac:dyDescent="0.25">
      <c r="A56" s="44">
        <v>6</v>
      </c>
      <c r="B56" s="44" t="b" cm="1">
        <f t="array" ref="B56">_xlfn.LET(
  _xlpm.ids, VALUE(_xlfn.TEXTSPLIT(SUBSTITUTE(A56,",",";"),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56" s="44" t="s">
        <v>93</v>
      </c>
      <c r="D56" s="10" t="s">
        <v>1180</v>
      </c>
      <c r="E56" s="10" t="s">
        <v>344</v>
      </c>
      <c r="F56" s="10"/>
      <c r="G56" s="10" t="s">
        <v>179</v>
      </c>
      <c r="H56" s="10"/>
      <c r="I56" s="10"/>
      <c r="J56" s="4" t="s">
        <v>597</v>
      </c>
      <c r="K56" s="4" t="s">
        <v>119</v>
      </c>
      <c r="L56" s="10"/>
      <c r="M56" s="10" t="s">
        <v>598</v>
      </c>
    </row>
    <row r="57" spans="1:13" ht="15" customHeight="1" x14ac:dyDescent="0.25">
      <c r="A57" s="44">
        <v>15</v>
      </c>
      <c r="B57" s="44" t="b" cm="1">
        <f t="array" ref="B57">_xlfn.LET(
  _xlpm.ids, VALUE(_xlfn.TEXTSPLIT(SUBSTITUTE(A57,",",";"),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7" s="44" t="s">
        <v>93</v>
      </c>
      <c r="D57" s="10" t="s">
        <v>1180</v>
      </c>
      <c r="E57" s="10" t="s">
        <v>344</v>
      </c>
      <c r="F57" s="10"/>
      <c r="G57" s="10" t="s">
        <v>275</v>
      </c>
      <c r="H57" s="10"/>
      <c r="I57" s="10"/>
      <c r="J57" s="4" t="s">
        <v>614</v>
      </c>
      <c r="K57" s="4" t="s">
        <v>153</v>
      </c>
      <c r="L57" s="10"/>
      <c r="M57" s="10"/>
    </row>
    <row r="58" spans="1:13" ht="15" customHeight="1" x14ac:dyDescent="0.25">
      <c r="A58" s="45">
        <v>27</v>
      </c>
      <c r="B58" s="45" t="b" cm="1">
        <f t="array" ref="B58">_xlfn.LET(
  _xlpm.ids, VALUE(_xlfn.TEXTSPLIT(SUBSTITUTE(A58,",",";"),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8" s="45" t="s">
        <v>93</v>
      </c>
      <c r="D58" s="16" t="s">
        <v>95</v>
      </c>
      <c r="E58" s="16"/>
      <c r="F58" s="16"/>
      <c r="G58" s="16" t="s">
        <v>216</v>
      </c>
      <c r="H58" s="16"/>
      <c r="I58" s="16"/>
      <c r="J58" s="8" t="s">
        <v>490</v>
      </c>
      <c r="K58" s="8"/>
      <c r="L58" s="17"/>
      <c r="M58" s="8"/>
    </row>
    <row r="59" spans="1:13" ht="15" customHeight="1" x14ac:dyDescent="0.25">
      <c r="A59" s="55">
        <v>11</v>
      </c>
      <c r="B59" s="55" t="b" cm="1">
        <f t="array" ref="B59">_xlfn.LET(
  _xlpm.ids, VALUE(_xlfn.TEXTSPLIT(SUBSTITUTE(A59,",",";"),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59" s="55" t="s">
        <v>93</v>
      </c>
      <c r="D59" s="15" t="s">
        <v>1180</v>
      </c>
      <c r="E59" s="15" t="s">
        <v>344</v>
      </c>
      <c r="F59" s="15"/>
      <c r="G59" s="15" t="s">
        <v>115</v>
      </c>
      <c r="H59" s="15"/>
      <c r="I59" s="15"/>
      <c r="J59" s="15" t="s">
        <v>599</v>
      </c>
      <c r="K59" s="15" t="s">
        <v>313</v>
      </c>
      <c r="L59" s="15"/>
      <c r="M59" s="15"/>
    </row>
    <row r="60" spans="1:13" ht="15" customHeight="1" x14ac:dyDescent="0.25">
      <c r="A60" s="46">
        <v>15</v>
      </c>
      <c r="B60" s="46" t="b" cm="1">
        <f t="array" ref="B60">_xlfn.LET(
  _xlpm.ids, VALUE(_xlfn.TEXTSPLIT(SUBSTITUTE(A60,",",";"),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0" s="46" t="s">
        <v>93</v>
      </c>
      <c r="D60" s="21" t="s">
        <v>203</v>
      </c>
      <c r="E60" s="13" t="s">
        <v>798</v>
      </c>
      <c r="F60" s="13"/>
      <c r="G60" s="13" t="s">
        <v>110</v>
      </c>
      <c r="H60" s="13"/>
      <c r="I60" s="13"/>
      <c r="J60" s="7" t="s">
        <v>880</v>
      </c>
      <c r="K60" s="7" t="s">
        <v>153</v>
      </c>
      <c r="L60" s="13"/>
      <c r="M60" s="13" t="s">
        <v>881</v>
      </c>
    </row>
    <row r="61" spans="1:13" ht="15" customHeight="1" x14ac:dyDescent="0.25">
      <c r="A61" s="45">
        <v>3</v>
      </c>
      <c r="B61" s="45" t="b" cm="1">
        <f t="array" ref="B61">_xlfn.LET(
  _xlpm.ids, VALUE(_xlfn.TEXTSPLIT(SUBSTITUTE(A61,",",";"),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1" s="45" t="s">
        <v>93</v>
      </c>
      <c r="D61" s="8" t="s">
        <v>519</v>
      </c>
      <c r="E61" s="8" t="s">
        <v>757</v>
      </c>
      <c r="F61" s="8"/>
      <c r="G61" s="10" t="s">
        <v>115</v>
      </c>
      <c r="H61" s="10"/>
      <c r="I61" s="10"/>
      <c r="J61" s="4" t="s">
        <v>766</v>
      </c>
      <c r="K61" s="4" t="s">
        <v>122</v>
      </c>
      <c r="L61" s="8"/>
      <c r="M61" s="8"/>
    </row>
    <row r="62" spans="1:13" ht="15" customHeight="1" x14ac:dyDescent="0.25">
      <c r="A62" s="44" t="s">
        <v>1188</v>
      </c>
      <c r="B62" s="44" t="str" cm="1">
        <f t="array" ref="B62">_xlfn.LET(
  _xlpm.ids, VALUE(_xlfn.TEXTSPLIT(SUBSTITUTE(A62,",",";"),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62" s="44" t="s">
        <v>93</v>
      </c>
      <c r="D62" s="10" t="s">
        <v>1183</v>
      </c>
      <c r="E62" s="10" t="s">
        <v>757</v>
      </c>
      <c r="F62" s="10"/>
      <c r="G62" s="10" t="s">
        <v>115</v>
      </c>
      <c r="H62" s="10"/>
      <c r="I62" s="10"/>
      <c r="J62" s="4" t="s">
        <v>767</v>
      </c>
      <c r="K62" s="4" t="s">
        <v>1189</v>
      </c>
      <c r="L62" s="10"/>
      <c r="M62" s="10"/>
    </row>
    <row r="63" spans="1:13" ht="15" customHeight="1" x14ac:dyDescent="0.25">
      <c r="A63" s="45">
        <v>17</v>
      </c>
      <c r="B63" s="45" t="b" cm="1">
        <f t="array" ref="B63">_xlfn.LET(
  _xlpm.ids, VALUE(_xlfn.TEXTSPLIT(SUBSTITUTE(A63,",",";"),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3" s="45" t="s">
        <v>93</v>
      </c>
      <c r="D63" s="8" t="s">
        <v>519</v>
      </c>
      <c r="E63" s="8" t="s">
        <v>757</v>
      </c>
      <c r="F63" s="8"/>
      <c r="G63" s="8" t="s">
        <v>115</v>
      </c>
      <c r="H63" s="8"/>
      <c r="I63" s="8"/>
      <c r="J63" s="4" t="s">
        <v>772</v>
      </c>
      <c r="K63" s="4" t="s">
        <v>188</v>
      </c>
      <c r="L63" s="8"/>
      <c r="M63" s="8"/>
    </row>
    <row r="64" spans="1:13" ht="15" customHeight="1" x14ac:dyDescent="0.25">
      <c r="A64" s="44">
        <v>19</v>
      </c>
      <c r="B64" s="44" t="b" cm="1">
        <f t="array" ref="B64">_xlfn.LET(
  _xlpm.ids, VALUE(_xlfn.TEXTSPLIT(SUBSTITUTE(A64,",",";"),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4" s="44" t="s">
        <v>93</v>
      </c>
      <c r="D64" s="10" t="s">
        <v>1180</v>
      </c>
      <c r="E64" s="10" t="s">
        <v>757</v>
      </c>
      <c r="F64" s="10"/>
      <c r="G64" s="10" t="s">
        <v>773</v>
      </c>
      <c r="H64" s="10"/>
      <c r="I64" s="10"/>
      <c r="J64" s="4" t="s">
        <v>774</v>
      </c>
      <c r="K64" s="4" t="s">
        <v>309</v>
      </c>
      <c r="L64" s="10"/>
      <c r="M64" s="10"/>
    </row>
    <row r="65" spans="1:21" ht="15" customHeight="1" x14ac:dyDescent="0.25">
      <c r="A65" s="46">
        <v>19</v>
      </c>
      <c r="B65" s="46" t="b" cm="1">
        <f t="array" ref="B65">_xlfn.LET(
  _xlpm.ids, VALUE(_xlfn.TEXTSPLIT(SUBSTITUTE(A65,",",";"),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5" s="46" t="s">
        <v>93</v>
      </c>
      <c r="D65" s="13" t="s">
        <v>1190</v>
      </c>
      <c r="E65" s="13" t="s">
        <v>757</v>
      </c>
      <c r="F65" s="13"/>
      <c r="G65" s="13" t="s">
        <v>777</v>
      </c>
      <c r="H65" s="13"/>
      <c r="I65" s="13"/>
      <c r="J65" s="7" t="s">
        <v>778</v>
      </c>
      <c r="K65" s="7" t="s">
        <v>309</v>
      </c>
      <c r="L65" s="13" t="s">
        <v>779</v>
      </c>
      <c r="M65" s="13"/>
    </row>
    <row r="66" spans="1:21" ht="15" customHeight="1" x14ac:dyDescent="0.25">
      <c r="A66" s="55">
        <v>16</v>
      </c>
      <c r="B66" s="55" t="b" cm="1">
        <f t="array" ref="B66">_xlfn.LET(
  _xlpm.ids, VALUE(_xlfn.TEXTSPLIT(SUBSTITUTE(A66,",",";"),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6" s="55" t="s">
        <v>93</v>
      </c>
      <c r="D66" s="8" t="s">
        <v>203</v>
      </c>
      <c r="E66" s="15" t="s">
        <v>1051</v>
      </c>
      <c r="F66" s="15"/>
      <c r="G66" s="15" t="s">
        <v>115</v>
      </c>
      <c r="H66" s="15"/>
      <c r="I66" s="15"/>
      <c r="J66" s="15" t="s">
        <v>535</v>
      </c>
      <c r="K66" s="15" t="s">
        <v>244</v>
      </c>
      <c r="L66" s="15"/>
      <c r="M66" s="15"/>
    </row>
    <row r="67" spans="1:21" ht="15" customHeight="1" x14ac:dyDescent="0.25">
      <c r="A67" s="45">
        <v>27</v>
      </c>
      <c r="B67" s="45" t="b" cm="1">
        <f t="array" ref="B67">_xlfn.LET(
  _xlpm.ids, VALUE(_xlfn.TEXTSPLIT(SUBSTITUTE(A67,",",";"),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7" s="45" t="s">
        <v>93</v>
      </c>
      <c r="D67" s="16" t="s">
        <v>95</v>
      </c>
      <c r="E67" s="16" t="s">
        <v>1191</v>
      </c>
      <c r="F67" s="16"/>
      <c r="G67" s="16" t="s">
        <v>110</v>
      </c>
      <c r="H67" s="16"/>
      <c r="I67" s="16"/>
      <c r="J67" s="8" t="s">
        <v>480</v>
      </c>
      <c r="K67" s="8"/>
      <c r="L67" s="8"/>
      <c r="M67" s="8"/>
    </row>
    <row r="68" spans="1:21" ht="15" customHeight="1" x14ac:dyDescent="0.25">
      <c r="A68" s="44">
        <v>8</v>
      </c>
      <c r="B68" s="44" t="b" cm="1">
        <f t="array" ref="B68">_xlfn.LET(
  _xlpm.ids, VALUE(_xlfn.TEXTSPLIT(SUBSTITUTE(A68,",",";"),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8" s="44" t="s">
        <v>93</v>
      </c>
      <c r="D68" s="10" t="s">
        <v>1158</v>
      </c>
      <c r="E68" s="10" t="s">
        <v>1158</v>
      </c>
      <c r="F68" s="10"/>
      <c r="G68" s="10" t="s">
        <v>216</v>
      </c>
      <c r="H68" s="10"/>
      <c r="I68" s="10"/>
      <c r="J68" s="4" t="s">
        <v>722</v>
      </c>
      <c r="K68" s="4" t="s">
        <v>174</v>
      </c>
      <c r="L68" s="10"/>
      <c r="M68" s="10"/>
    </row>
    <row r="69" spans="1:21" ht="15" customHeight="1" x14ac:dyDescent="0.25">
      <c r="A69" s="55" t="s">
        <v>1192</v>
      </c>
      <c r="B69" s="55" t="str" cm="1">
        <f t="array" ref="B69">_xlfn.LET(
  _xlpm.ids, VALUE(_xlfn.TEXTSPLIT(A69,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69" s="55" t="s">
        <v>93</v>
      </c>
      <c r="D69" s="8" t="s">
        <v>203</v>
      </c>
      <c r="E69" s="15" t="s">
        <v>1193</v>
      </c>
      <c r="F69" s="15"/>
      <c r="G69" s="15" t="s">
        <v>146</v>
      </c>
      <c r="H69" s="15"/>
      <c r="I69" s="15"/>
      <c r="J69" s="4" t="s">
        <v>513</v>
      </c>
      <c r="K69" s="15" t="s">
        <v>1194</v>
      </c>
      <c r="L69" s="15"/>
      <c r="M69" s="15"/>
    </row>
    <row r="70" spans="1:21" ht="15" customHeight="1" x14ac:dyDescent="0.25">
      <c r="A70" s="55" t="s">
        <v>1195</v>
      </c>
      <c r="B70" s="55" t="str" cm="1">
        <f t="array" ref="B70">_xlfn.LET(
  _xlpm.ids, VALUE(_xlfn.TEXTSPLIT(A70,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70" s="55" t="s">
        <v>93</v>
      </c>
      <c r="D70" s="8" t="s">
        <v>203</v>
      </c>
      <c r="E70" s="15" t="s">
        <v>1051</v>
      </c>
      <c r="F70" s="15"/>
      <c r="G70" s="10" t="s">
        <v>175</v>
      </c>
      <c r="H70" s="10"/>
      <c r="I70" s="10"/>
      <c r="J70" s="15" t="s">
        <v>512</v>
      </c>
      <c r="K70" s="15" t="s">
        <v>1196</v>
      </c>
      <c r="L70" s="15"/>
      <c r="M70" s="15"/>
    </row>
    <row r="71" spans="1:21" ht="15" customHeight="1" x14ac:dyDescent="0.25">
      <c r="A71" s="44">
        <v>15</v>
      </c>
      <c r="B71" s="44" t="b" cm="1">
        <f t="array" ref="B71">_xlfn.LET(
  _xlpm.ids, VALUE(_xlfn.TEXTSPLIT(A71,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1" s="44" t="s">
        <v>93</v>
      </c>
      <c r="D71" s="10" t="s">
        <v>1180</v>
      </c>
      <c r="E71" s="10" t="s">
        <v>757</v>
      </c>
      <c r="F71" s="10"/>
      <c r="G71" s="10" t="s">
        <v>110</v>
      </c>
      <c r="H71" s="10"/>
      <c r="I71" s="10"/>
      <c r="J71" s="4" t="s">
        <v>780</v>
      </c>
      <c r="K71" s="4" t="s">
        <v>153</v>
      </c>
      <c r="L71" s="10"/>
      <c r="M71" s="10"/>
    </row>
    <row r="72" spans="1:21" ht="15" customHeight="1" x14ac:dyDescent="0.25">
      <c r="A72" s="44">
        <v>15</v>
      </c>
      <c r="B72" s="44" t="b" cm="1">
        <f t="array" ref="B72">_xlfn.LET(
  _xlpm.ids, VALUE(_xlfn.TEXTSPLIT(A72,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2" s="44" t="s">
        <v>93</v>
      </c>
      <c r="D72" s="10"/>
      <c r="E72" s="10" t="s">
        <v>546</v>
      </c>
      <c r="F72" s="10"/>
      <c r="G72" s="10" t="s">
        <v>216</v>
      </c>
      <c r="H72" s="10"/>
      <c r="I72" s="10"/>
      <c r="J72" s="4" t="s">
        <v>1197</v>
      </c>
      <c r="K72" s="4" t="s">
        <v>153</v>
      </c>
      <c r="L72" s="10"/>
      <c r="M72" s="10"/>
    </row>
    <row r="73" spans="1:21" ht="15" customHeight="1" x14ac:dyDescent="0.25">
      <c r="A73" s="44" t="s">
        <v>190</v>
      </c>
      <c r="B73" s="44" t="b" cm="1">
        <f t="array" ref="B73">_xlfn.LET(
  _xlpm.ids, VALUE(_xlfn.TEXTSPLIT(A73,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3" s="44" t="s">
        <v>93</v>
      </c>
      <c r="D73" s="8" t="s">
        <v>519</v>
      </c>
      <c r="E73" s="8" t="s">
        <v>344</v>
      </c>
      <c r="F73" s="8"/>
      <c r="G73" s="8" t="s">
        <v>110</v>
      </c>
      <c r="H73" s="8"/>
      <c r="I73" s="8"/>
      <c r="J73" s="4" t="s">
        <v>603</v>
      </c>
      <c r="K73" s="4" t="s">
        <v>127</v>
      </c>
      <c r="L73" s="8"/>
      <c r="M73" s="8"/>
    </row>
    <row r="74" spans="1:21" ht="15" customHeight="1" x14ac:dyDescent="0.25">
      <c r="A74" s="55">
        <v>10</v>
      </c>
      <c r="B74" s="55" t="b" cm="1">
        <f t="array" ref="B74">_xlfn.LET(
  _xlpm.ids, VALUE(_xlfn.TEXTSPLIT(A74,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4" s="55" t="s">
        <v>93</v>
      </c>
      <c r="D74" s="10" t="s">
        <v>1180</v>
      </c>
      <c r="E74" s="8" t="s">
        <v>344</v>
      </c>
      <c r="F74" s="8"/>
      <c r="G74" s="15" t="s">
        <v>604</v>
      </c>
      <c r="H74" s="15"/>
      <c r="I74" s="15"/>
      <c r="J74" s="15" t="s">
        <v>605</v>
      </c>
      <c r="K74" s="15" t="s">
        <v>148</v>
      </c>
      <c r="L74" s="15" t="s">
        <v>606</v>
      </c>
      <c r="M74" s="15" t="s">
        <v>606</v>
      </c>
    </row>
    <row r="75" spans="1:21" ht="15" customHeight="1" x14ac:dyDescent="0.25">
      <c r="A75" s="45">
        <v>26</v>
      </c>
      <c r="B75" s="45" t="b" cm="1">
        <f t="array" ref="B75">_xlfn.LET(
  _xlpm.ids, VALUE(_xlfn.TEXTSPLIT(A75,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5" s="45" t="s">
        <v>93</v>
      </c>
      <c r="D75" s="8" t="s">
        <v>805</v>
      </c>
      <c r="E75" s="8"/>
      <c r="F75" s="8"/>
      <c r="G75" s="8" t="s">
        <v>110</v>
      </c>
      <c r="H75" s="8"/>
      <c r="I75" s="8"/>
      <c r="J75" s="8" t="s">
        <v>206</v>
      </c>
      <c r="K75" s="8" t="s">
        <v>134</v>
      </c>
      <c r="L75" s="8"/>
      <c r="M75" s="8"/>
    </row>
    <row r="76" spans="1:21" ht="15" customHeight="1" x14ac:dyDescent="0.25">
      <c r="A76" s="45">
        <v>1</v>
      </c>
      <c r="B76" s="45" t="b" cm="1">
        <f t="array" ref="B76">_xlfn.LET(
  _xlpm.ids, VALUE(_xlfn.TEXTSPLIT(A76,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6" s="45" t="s">
        <v>93</v>
      </c>
      <c r="D76" s="8" t="s">
        <v>203</v>
      </c>
      <c r="E76" s="8" t="s">
        <v>1198</v>
      </c>
      <c r="F76" s="8"/>
      <c r="G76" s="8" t="s">
        <v>115</v>
      </c>
      <c r="H76" s="8"/>
      <c r="I76" s="8"/>
      <c r="J76" s="4" t="s">
        <v>874</v>
      </c>
      <c r="K76" s="4" t="s">
        <v>263</v>
      </c>
      <c r="L76" s="8"/>
      <c r="M76" s="8"/>
    </row>
    <row r="77" spans="1:21" ht="15" customHeight="1" x14ac:dyDescent="0.25">
      <c r="A77" s="55">
        <v>10</v>
      </c>
      <c r="B77" s="55" t="b" cm="1">
        <f t="array" ref="B77">_xlfn.LET(
  _xlpm.ids, VALUE(_xlfn.TEXTSPLIT(A77,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7" s="55" t="s">
        <v>93</v>
      </c>
      <c r="D77" s="15"/>
      <c r="E77" s="15" t="s">
        <v>546</v>
      </c>
      <c r="F77" s="15"/>
      <c r="G77" s="15" t="s">
        <v>146</v>
      </c>
      <c r="H77" s="15"/>
      <c r="I77" s="15"/>
      <c r="J77" s="15" t="s">
        <v>561</v>
      </c>
      <c r="K77" s="15" t="s">
        <v>148</v>
      </c>
      <c r="L77" s="15"/>
      <c r="M77" s="15"/>
    </row>
    <row r="78" spans="1:21" ht="15" customHeight="1" x14ac:dyDescent="0.25">
      <c r="A78" s="45">
        <v>4</v>
      </c>
      <c r="B78" s="45" t="b" cm="1">
        <f t="array" ref="B78">_xlfn.LET(
  _xlpm.ids, VALUE(_xlfn.TEXTSPLIT(A78,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8" s="45" t="s">
        <v>93</v>
      </c>
      <c r="D78" s="8" t="s">
        <v>1190</v>
      </c>
      <c r="E78" s="8" t="s">
        <v>344</v>
      </c>
      <c r="F78" s="8"/>
      <c r="G78" s="8" t="s">
        <v>115</v>
      </c>
      <c r="H78" s="8"/>
      <c r="I78" s="8"/>
      <c r="J78" s="4" t="s">
        <v>608</v>
      </c>
      <c r="K78" s="4" t="s">
        <v>247</v>
      </c>
      <c r="L78" s="8"/>
      <c r="M78" s="8"/>
    </row>
    <row r="79" spans="1:21" ht="15" customHeight="1" x14ac:dyDescent="0.25">
      <c r="A79" s="44">
        <v>13</v>
      </c>
      <c r="B79" s="44" t="b" cm="1">
        <f t="array" ref="B79">_xlfn.LET(
  _xlpm.ids, VALUE(_xlfn.TEXTSPLIT(A79,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9" s="44" t="s">
        <v>93</v>
      </c>
      <c r="D79" s="10" t="s">
        <v>1183</v>
      </c>
      <c r="E79" s="10" t="s">
        <v>344</v>
      </c>
      <c r="F79" s="10"/>
      <c r="G79" s="10" t="s">
        <v>115</v>
      </c>
      <c r="H79" s="10"/>
      <c r="I79" s="10"/>
      <c r="J79" s="4" t="s">
        <v>592</v>
      </c>
      <c r="K79" s="4" t="s">
        <v>151</v>
      </c>
      <c r="L79" s="10"/>
      <c r="M79" s="10"/>
    </row>
    <row r="80" spans="1:21" ht="15" customHeight="1" x14ac:dyDescent="0.25">
      <c r="A80" s="55" t="s">
        <v>1199</v>
      </c>
      <c r="B80" s="55" t="str" cm="1">
        <f t="array" ref="B80">_xlfn.LET(
  _xlpm.ids, VALUE(_xlfn.TEXTSPLIT(A80,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80" s="55" t="s">
        <v>93</v>
      </c>
      <c r="D80" s="8" t="s">
        <v>203</v>
      </c>
      <c r="E80" s="15" t="s">
        <v>1051</v>
      </c>
      <c r="F80" s="15"/>
      <c r="G80" s="15" t="s">
        <v>115</v>
      </c>
      <c r="H80" s="15"/>
      <c r="I80" s="15"/>
      <c r="J80" s="15" t="s">
        <v>518</v>
      </c>
      <c r="K80" s="15" t="s">
        <v>1200</v>
      </c>
      <c r="L80" s="15"/>
      <c r="M80" s="15"/>
      <c r="N80" s="15"/>
      <c r="O80" s="15"/>
      <c r="P80" s="15"/>
      <c r="Q80" s="15"/>
      <c r="R80" s="15"/>
      <c r="S80" s="15"/>
      <c r="T80" s="15"/>
      <c r="U80" s="15"/>
    </row>
    <row r="81" spans="1:21" ht="15" customHeight="1" x14ac:dyDescent="0.25">
      <c r="A81" s="55" t="s">
        <v>1201</v>
      </c>
      <c r="B81" s="55" t="str" cm="1">
        <f t="array" ref="B81">_xlfn.LET(
  _xlpm.ids, VALUE(_xlfn.TEXTSPLIT(A81,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81" s="55" t="s">
        <v>93</v>
      </c>
      <c r="D81" s="15" t="s">
        <v>1180</v>
      </c>
      <c r="E81" s="15" t="s">
        <v>344</v>
      </c>
      <c r="F81" s="15"/>
      <c r="G81" s="15" t="s">
        <v>115</v>
      </c>
      <c r="H81" s="15"/>
      <c r="I81" s="15"/>
      <c r="J81" s="15" t="s">
        <v>601</v>
      </c>
      <c r="K81" s="15" t="s">
        <v>1202</v>
      </c>
      <c r="L81" s="15"/>
      <c r="M81" s="15"/>
      <c r="N81" s="10"/>
      <c r="O81" s="4"/>
      <c r="P81" s="4"/>
      <c r="Q81" s="10"/>
      <c r="R81" s="10"/>
      <c r="S81" s="10"/>
      <c r="T81" s="10"/>
      <c r="U81" s="10"/>
    </row>
    <row r="82" spans="1:21" ht="15" customHeight="1" x14ac:dyDescent="0.25">
      <c r="A82" s="55">
        <v>16</v>
      </c>
      <c r="B82" s="55" t="b" cm="1">
        <f t="array" ref="B82">_xlfn.LET(
  _xlpm.ids, VALUE(_xlfn.TEXTSPLIT(A82,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2" s="55" t="s">
        <v>93</v>
      </c>
      <c r="D82" s="8" t="s">
        <v>203</v>
      </c>
      <c r="E82" s="15" t="s">
        <v>260</v>
      </c>
      <c r="F82" s="15"/>
      <c r="G82" s="15" t="s">
        <v>110</v>
      </c>
      <c r="H82" s="15"/>
      <c r="I82" s="15"/>
      <c r="J82" s="15" t="s">
        <v>860</v>
      </c>
      <c r="K82" s="15" t="s">
        <v>244</v>
      </c>
      <c r="L82" s="15"/>
      <c r="M82" s="15"/>
    </row>
    <row r="83" spans="1:21" ht="15" customHeight="1" x14ac:dyDescent="0.25">
      <c r="A83" s="44">
        <v>15</v>
      </c>
      <c r="B83" s="44" t="b" cm="1">
        <f t="array" ref="B83">_xlfn.LET(
  _xlpm.ids, VALUE(_xlfn.TEXTSPLIT(A83,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3" s="44" t="s">
        <v>93</v>
      </c>
      <c r="D83" s="10" t="s">
        <v>1180</v>
      </c>
      <c r="E83" s="8" t="s">
        <v>344</v>
      </c>
      <c r="F83" s="8"/>
      <c r="G83" s="10" t="s">
        <v>110</v>
      </c>
      <c r="H83" s="10"/>
      <c r="I83" s="10"/>
      <c r="J83" s="4" t="s">
        <v>588</v>
      </c>
      <c r="K83" s="4" t="s">
        <v>153</v>
      </c>
      <c r="L83" s="10"/>
      <c r="M83" s="10" t="s">
        <v>589</v>
      </c>
    </row>
    <row r="84" spans="1:21" ht="15" customHeight="1" x14ac:dyDescent="0.25">
      <c r="A84" s="45">
        <v>23</v>
      </c>
      <c r="B84" s="45" t="b" cm="1">
        <f t="array" ref="B84">_xlfn.LET(
  _xlpm.ids, VALUE(_xlfn.TEXTSPLIT(A84,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4" s="45" t="s">
        <v>93</v>
      </c>
      <c r="D84" s="8" t="s">
        <v>519</v>
      </c>
      <c r="E84" s="8" t="s">
        <v>344</v>
      </c>
      <c r="F84" s="8"/>
      <c r="G84" s="8" t="s">
        <v>115</v>
      </c>
      <c r="H84" s="8"/>
      <c r="I84" s="8"/>
      <c r="J84" s="8" t="s">
        <v>615</v>
      </c>
      <c r="K84" s="8" t="s">
        <v>616</v>
      </c>
      <c r="L84" s="8"/>
      <c r="M84" s="8"/>
    </row>
    <row r="85" spans="1:21" ht="15" customHeight="1" x14ac:dyDescent="0.25">
      <c r="A85" s="45">
        <v>23</v>
      </c>
      <c r="B85" s="45" t="b" cm="1">
        <f t="array" ref="B85">_xlfn.LET(
  _xlpm.ids, VALUE(_xlfn.TEXTSPLIT(A85,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5" s="45" t="s">
        <v>93</v>
      </c>
      <c r="D85" s="8" t="s">
        <v>805</v>
      </c>
      <c r="E85" s="8" t="s">
        <v>1186</v>
      </c>
      <c r="F85" s="8"/>
      <c r="G85" s="8" t="s">
        <v>115</v>
      </c>
      <c r="H85" s="8"/>
      <c r="I85" s="8"/>
      <c r="J85" s="8" t="s">
        <v>520</v>
      </c>
      <c r="K85" s="8" t="s">
        <v>521</v>
      </c>
      <c r="L85" s="8"/>
      <c r="M85" s="8" t="s">
        <v>522</v>
      </c>
    </row>
    <row r="86" spans="1:21" ht="15" customHeight="1" x14ac:dyDescent="0.25">
      <c r="A86" s="45">
        <v>23</v>
      </c>
      <c r="B86" s="45" t="b" cm="1">
        <f t="array" ref="B86">_xlfn.LET(
  _xlpm.ids, VALUE(_xlfn.TEXTSPLIT(A86,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6" s="45" t="s">
        <v>93</v>
      </c>
      <c r="D86" s="8" t="s">
        <v>805</v>
      </c>
      <c r="E86" s="8" t="s">
        <v>1186</v>
      </c>
      <c r="F86" s="8"/>
      <c r="G86" s="8" t="s">
        <v>110</v>
      </c>
      <c r="H86" s="8"/>
      <c r="I86" s="8"/>
      <c r="J86" s="8" t="s">
        <v>523</v>
      </c>
      <c r="K86" s="8" t="s">
        <v>515</v>
      </c>
      <c r="L86" s="8"/>
      <c r="M86" s="8"/>
    </row>
    <row r="87" spans="1:21" ht="15" customHeight="1" x14ac:dyDescent="0.25">
      <c r="A87" s="45">
        <v>23</v>
      </c>
      <c r="B87" s="45" t="b" cm="1">
        <f t="array" ref="B87">_xlfn.LET(
  _xlpm.ids, VALUE(_xlfn.TEXTSPLIT(A87,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7" s="45" t="s">
        <v>93</v>
      </c>
      <c r="D87" s="8" t="s">
        <v>805</v>
      </c>
      <c r="E87" s="8" t="s">
        <v>1186</v>
      </c>
      <c r="F87" s="8"/>
      <c r="G87" s="8" t="s">
        <v>524</v>
      </c>
      <c r="H87" s="8"/>
      <c r="I87" s="8"/>
      <c r="J87" s="8" t="s">
        <v>525</v>
      </c>
      <c r="K87" s="8" t="s">
        <v>526</v>
      </c>
      <c r="L87" s="8"/>
      <c r="M87" s="8"/>
    </row>
    <row r="88" spans="1:21" ht="15" customHeight="1" x14ac:dyDescent="0.25">
      <c r="A88" s="45">
        <v>23</v>
      </c>
      <c r="B88" s="45" t="b" cm="1">
        <f t="array" ref="B88">_xlfn.LET(
  _xlpm.ids, VALUE(_xlfn.TEXTSPLIT(A88,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8" s="45" t="s">
        <v>93</v>
      </c>
      <c r="D88" s="8" t="s">
        <v>805</v>
      </c>
      <c r="E88" s="8" t="s">
        <v>798</v>
      </c>
      <c r="F88" s="8"/>
      <c r="G88" s="8" t="s">
        <v>275</v>
      </c>
      <c r="H88" s="8"/>
      <c r="I88" s="8"/>
      <c r="J88" s="8" t="s">
        <v>883</v>
      </c>
      <c r="K88" s="8" t="s">
        <v>884</v>
      </c>
      <c r="L88" s="8"/>
      <c r="M88" s="8"/>
    </row>
    <row r="89" spans="1:21" ht="15" customHeight="1" x14ac:dyDescent="0.25">
      <c r="A89" s="45">
        <v>23</v>
      </c>
      <c r="B89" s="45" t="b" cm="1">
        <f t="array" ref="B89">_xlfn.LET(
  _xlpm.ids, VALUE(_xlfn.TEXTSPLIT(A89,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9" s="45" t="s">
        <v>93</v>
      </c>
      <c r="D89" s="8" t="s">
        <v>519</v>
      </c>
      <c r="E89" s="8" t="s">
        <v>344</v>
      </c>
      <c r="F89" s="8"/>
      <c r="G89" s="8" t="s">
        <v>110</v>
      </c>
      <c r="H89" s="8"/>
      <c r="I89" s="8"/>
      <c r="J89" s="8" t="s">
        <v>620</v>
      </c>
      <c r="K89" s="8" t="s">
        <v>526</v>
      </c>
      <c r="L89" s="8"/>
      <c r="M89" s="8"/>
    </row>
    <row r="90" spans="1:21" ht="15" customHeight="1" x14ac:dyDescent="0.25">
      <c r="A90" s="45">
        <v>23</v>
      </c>
      <c r="B90" s="45" t="b" cm="1">
        <f t="array" ref="B90">_xlfn.LET(
  _xlpm.ids, VALUE(_xlfn.TEXTSPLIT(A90,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0" s="45" t="s">
        <v>93</v>
      </c>
      <c r="D90" s="8" t="s">
        <v>519</v>
      </c>
      <c r="E90" s="8" t="s">
        <v>344</v>
      </c>
      <c r="F90" s="8"/>
      <c r="G90" s="8" t="s">
        <v>275</v>
      </c>
      <c r="H90" s="8"/>
      <c r="I90" s="8"/>
      <c r="J90" s="8" t="s">
        <v>621</v>
      </c>
      <c r="K90" s="8" t="s">
        <v>506</v>
      </c>
      <c r="L90" s="8"/>
      <c r="M90" s="8"/>
    </row>
    <row r="91" spans="1:21" ht="15" customHeight="1" x14ac:dyDescent="0.25">
      <c r="A91" s="45">
        <v>23</v>
      </c>
      <c r="B91" s="45" t="b" cm="1">
        <f t="array" ref="B91">_xlfn.LET(
  _xlpm.ids, VALUE(_xlfn.TEXTSPLIT(A91,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1" s="45" t="s">
        <v>93</v>
      </c>
      <c r="D91" s="8" t="s">
        <v>805</v>
      </c>
      <c r="E91" s="8" t="s">
        <v>1186</v>
      </c>
      <c r="F91" s="8"/>
      <c r="G91" s="8" t="s">
        <v>115</v>
      </c>
      <c r="H91" s="8"/>
      <c r="I91" s="8"/>
      <c r="J91" s="8" t="s">
        <v>527</v>
      </c>
      <c r="K91" s="8" t="s">
        <v>528</v>
      </c>
      <c r="L91" s="8"/>
      <c r="M91" s="8"/>
    </row>
    <row r="92" spans="1:21" ht="15" customHeight="1" x14ac:dyDescent="0.25">
      <c r="A92" s="45">
        <v>23</v>
      </c>
      <c r="B92" s="45" t="b" cm="1">
        <f t="array" ref="B92">_xlfn.LET(
  _xlpm.ids, VALUE(_xlfn.TEXTSPLIT(A92,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2" s="45" t="s">
        <v>93</v>
      </c>
      <c r="D92" s="8" t="s">
        <v>519</v>
      </c>
      <c r="E92" s="8" t="s">
        <v>344</v>
      </c>
      <c r="F92" s="8"/>
      <c r="G92" s="8" t="s">
        <v>110</v>
      </c>
      <c r="H92" s="8"/>
      <c r="I92" s="8"/>
      <c r="J92" s="8" t="s">
        <v>622</v>
      </c>
      <c r="K92" s="8" t="s">
        <v>205</v>
      </c>
      <c r="L92" s="8"/>
      <c r="M92" s="8"/>
    </row>
    <row r="93" spans="1:21" ht="15" customHeight="1" x14ac:dyDescent="0.25">
      <c r="A93" s="45">
        <v>23</v>
      </c>
      <c r="B93" s="45" t="b" cm="1">
        <f t="array" ref="B93">_xlfn.LET(
  _xlpm.ids, VALUE(_xlfn.TEXTSPLIT(A93,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3" s="45" t="s">
        <v>93</v>
      </c>
      <c r="D93" s="8" t="s">
        <v>519</v>
      </c>
      <c r="E93" s="8" t="s">
        <v>344</v>
      </c>
      <c r="F93" s="8"/>
      <c r="G93" s="8" t="s">
        <v>110</v>
      </c>
      <c r="H93" s="8"/>
      <c r="I93" s="8"/>
      <c r="J93" s="8" t="s">
        <v>623</v>
      </c>
      <c r="K93" s="8" t="s">
        <v>521</v>
      </c>
      <c r="L93" s="8"/>
      <c r="M93" s="8"/>
    </row>
    <row r="94" spans="1:21" ht="15" customHeight="1" x14ac:dyDescent="0.25">
      <c r="A94" s="45">
        <v>23</v>
      </c>
      <c r="B94" s="45" t="b" cm="1">
        <f t="array" ref="B94">_xlfn.LET(
  _xlpm.ids, VALUE(_xlfn.TEXTSPLIT(A94,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4" s="45" t="s">
        <v>93</v>
      </c>
      <c r="D94" s="8" t="s">
        <v>519</v>
      </c>
      <c r="E94" s="8" t="s">
        <v>344</v>
      </c>
      <c r="F94" s="8"/>
      <c r="G94" s="8" t="s">
        <v>216</v>
      </c>
      <c r="H94" s="8"/>
      <c r="I94" s="8"/>
      <c r="J94" s="8" t="s">
        <v>624</v>
      </c>
      <c r="K94" s="8" t="s">
        <v>506</v>
      </c>
      <c r="L94" s="8"/>
      <c r="M94" s="8"/>
    </row>
    <row r="95" spans="1:21" ht="15" customHeight="1" x14ac:dyDescent="0.25">
      <c r="A95" s="45">
        <v>23</v>
      </c>
      <c r="B95" s="45" t="b" cm="1">
        <f t="array" ref="B95">_xlfn.LET(
  _xlpm.ids, VALUE(_xlfn.TEXTSPLIT(A95,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5" s="45" t="s">
        <v>93</v>
      </c>
      <c r="D95" s="8" t="s">
        <v>519</v>
      </c>
      <c r="E95" s="8" t="s">
        <v>344</v>
      </c>
      <c r="F95" s="8"/>
      <c r="G95" s="8" t="s">
        <v>275</v>
      </c>
      <c r="H95" s="8"/>
      <c r="I95" s="8"/>
      <c r="J95" s="8" t="s">
        <v>625</v>
      </c>
      <c r="K95" s="8" t="s">
        <v>526</v>
      </c>
      <c r="L95" s="8"/>
      <c r="M95" s="8"/>
    </row>
    <row r="96" spans="1:21" ht="15" customHeight="1" x14ac:dyDescent="0.25">
      <c r="A96" s="45">
        <v>23</v>
      </c>
      <c r="B96" s="45" t="b" cm="1">
        <f t="array" ref="B96">_xlfn.LET(
  _xlpm.ids, VALUE(_xlfn.TEXTSPLIT(A96,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6" s="45" t="s">
        <v>93</v>
      </c>
      <c r="D96" s="8" t="s">
        <v>519</v>
      </c>
      <c r="E96" s="8" t="s">
        <v>344</v>
      </c>
      <c r="F96" s="8"/>
      <c r="G96" s="8" t="s">
        <v>626</v>
      </c>
      <c r="H96" s="8"/>
      <c r="I96" s="8"/>
      <c r="J96" s="8" t="s">
        <v>627</v>
      </c>
      <c r="K96" s="8" t="s">
        <v>506</v>
      </c>
      <c r="L96" s="8"/>
      <c r="M96" s="8"/>
    </row>
    <row r="97" spans="1:13" ht="15" customHeight="1" x14ac:dyDescent="0.25">
      <c r="A97" s="45">
        <v>23</v>
      </c>
      <c r="B97" s="45" t="b" cm="1">
        <f t="array" ref="B97">_xlfn.LET(
  _xlpm.ids, VALUE(_xlfn.TEXTSPLIT(A97,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7" s="45" t="s">
        <v>93</v>
      </c>
      <c r="D97" s="8" t="s">
        <v>519</v>
      </c>
      <c r="E97" s="8" t="s">
        <v>344</v>
      </c>
      <c r="F97" s="8"/>
      <c r="G97" s="8" t="s">
        <v>110</v>
      </c>
      <c r="H97" s="8"/>
      <c r="I97" s="8"/>
      <c r="J97" s="8" t="s">
        <v>628</v>
      </c>
      <c r="K97" s="8" t="s">
        <v>629</v>
      </c>
      <c r="L97" s="8"/>
      <c r="M97" s="8"/>
    </row>
    <row r="98" spans="1:13" ht="15" customHeight="1" x14ac:dyDescent="0.25">
      <c r="A98" s="45">
        <v>23</v>
      </c>
      <c r="B98" s="45" t="b" cm="1">
        <f t="array" ref="B98">_xlfn.LET(
  _xlpm.ids, VALUE(_xlfn.TEXTSPLIT(A98,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8" s="45" t="s">
        <v>93</v>
      </c>
      <c r="D98" s="8" t="s">
        <v>519</v>
      </c>
      <c r="E98" s="8" t="s">
        <v>344</v>
      </c>
      <c r="F98" s="8"/>
      <c r="G98" s="8" t="s">
        <v>115</v>
      </c>
      <c r="H98" s="8"/>
      <c r="I98" s="8"/>
      <c r="J98" s="8" t="s">
        <v>630</v>
      </c>
      <c r="K98" s="8" t="s">
        <v>631</v>
      </c>
      <c r="L98" s="8"/>
      <c r="M98" s="8"/>
    </row>
    <row r="99" spans="1:13" ht="15" customHeight="1" x14ac:dyDescent="0.25">
      <c r="A99" s="45">
        <v>23</v>
      </c>
      <c r="B99" s="45" t="b" cm="1">
        <f t="array" ref="B99">_xlfn.LET(
  _xlpm.ids, VALUE(_xlfn.TEXTSPLIT(A99,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9" s="45" t="s">
        <v>93</v>
      </c>
      <c r="D99" s="8" t="s">
        <v>805</v>
      </c>
      <c r="E99" s="8"/>
      <c r="F99" s="8"/>
      <c r="G99" s="8" t="s">
        <v>115</v>
      </c>
      <c r="H99" s="8"/>
      <c r="I99" s="8"/>
      <c r="J99" s="8" t="s">
        <v>791</v>
      </c>
      <c r="K99" s="8" t="s">
        <v>250</v>
      </c>
      <c r="L99" s="8"/>
      <c r="M99" s="8"/>
    </row>
    <row r="100" spans="1:13" ht="15" customHeight="1" x14ac:dyDescent="0.25">
      <c r="A100" s="45">
        <v>23</v>
      </c>
      <c r="B100" s="45" t="b" cm="1">
        <f t="array" ref="B100">_xlfn.LET(
  _xlpm.ids, VALUE(_xlfn.TEXTSPLIT(A100,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0" s="45" t="s">
        <v>93</v>
      </c>
      <c r="D100" s="8" t="s">
        <v>519</v>
      </c>
      <c r="E100" s="8" t="s">
        <v>344</v>
      </c>
      <c r="F100" s="8"/>
      <c r="G100" s="8" t="s">
        <v>110</v>
      </c>
      <c r="H100" s="8"/>
      <c r="I100" s="8"/>
      <c r="J100" s="8" t="s">
        <v>632</v>
      </c>
      <c r="K100" s="8" t="s">
        <v>205</v>
      </c>
      <c r="L100" s="8"/>
      <c r="M100" s="8"/>
    </row>
    <row r="101" spans="1:13" ht="15" customHeight="1" x14ac:dyDescent="0.25">
      <c r="A101" s="45">
        <v>23</v>
      </c>
      <c r="B101" s="45" t="b" cm="1">
        <f t="array" ref="B101">_xlfn.LET(
  _xlpm.ids, VALUE(_xlfn.TEXTSPLIT(A101,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1" s="45" t="s">
        <v>93</v>
      </c>
      <c r="D101" s="8" t="s">
        <v>519</v>
      </c>
      <c r="E101" s="8" t="s">
        <v>344</v>
      </c>
      <c r="F101" s="8"/>
      <c r="G101" s="8" t="s">
        <v>115</v>
      </c>
      <c r="H101" s="8"/>
      <c r="I101" s="8"/>
      <c r="J101" s="8" t="s">
        <v>633</v>
      </c>
      <c r="K101" s="8" t="s">
        <v>616</v>
      </c>
      <c r="L101" s="8"/>
      <c r="M101" s="8"/>
    </row>
    <row r="102" spans="1:13" ht="15" customHeight="1" x14ac:dyDescent="0.25">
      <c r="A102" s="45">
        <v>23</v>
      </c>
      <c r="B102" s="45" t="b" cm="1">
        <f t="array" ref="B102">_xlfn.LET(
  _xlpm.ids, VALUE(_xlfn.TEXTSPLIT(A102,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2" s="45" t="s">
        <v>93</v>
      </c>
      <c r="D102" s="8" t="s">
        <v>519</v>
      </c>
      <c r="E102" s="8" t="s">
        <v>344</v>
      </c>
      <c r="F102" s="8"/>
      <c r="G102" s="8" t="s">
        <v>115</v>
      </c>
      <c r="H102" s="8"/>
      <c r="I102" s="8"/>
      <c r="J102" s="8" t="s">
        <v>634</v>
      </c>
      <c r="K102" s="8" t="s">
        <v>506</v>
      </c>
      <c r="L102" s="8"/>
      <c r="M102" s="8"/>
    </row>
    <row r="103" spans="1:13" ht="15" customHeight="1" x14ac:dyDescent="0.25">
      <c r="A103" s="45">
        <v>23</v>
      </c>
      <c r="B103" s="45" t="b" cm="1">
        <f t="array" ref="B103">_xlfn.LET(
  _xlpm.ids, VALUE(_xlfn.TEXTSPLIT(A103,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3" s="45" t="s">
        <v>93</v>
      </c>
      <c r="D103" s="8" t="s">
        <v>519</v>
      </c>
      <c r="E103" s="8" t="s">
        <v>344</v>
      </c>
      <c r="F103" s="8"/>
      <c r="G103" s="8" t="s">
        <v>115</v>
      </c>
      <c r="H103" s="8"/>
      <c r="I103" s="8"/>
      <c r="J103" s="8" t="s">
        <v>635</v>
      </c>
      <c r="K103" s="8" t="s">
        <v>636</v>
      </c>
      <c r="L103" s="8"/>
      <c r="M103" s="8"/>
    </row>
    <row r="104" spans="1:13" ht="15" customHeight="1" x14ac:dyDescent="0.25">
      <c r="A104" s="45">
        <v>23</v>
      </c>
      <c r="B104" s="45" t="b" cm="1">
        <f t="array" ref="B104">_xlfn.LET(
  _xlpm.ids, VALUE(_xlfn.TEXTSPLIT(A104,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4" s="45" t="s">
        <v>93</v>
      </c>
      <c r="D104" s="8" t="s">
        <v>519</v>
      </c>
      <c r="E104" s="8" t="s">
        <v>344</v>
      </c>
      <c r="F104" s="8"/>
      <c r="G104" s="8" t="s">
        <v>115</v>
      </c>
      <c r="H104" s="8"/>
      <c r="I104" s="8"/>
      <c r="J104" s="8" t="s">
        <v>637</v>
      </c>
      <c r="K104" s="8" t="s">
        <v>616</v>
      </c>
      <c r="L104" s="8"/>
      <c r="M104" s="8"/>
    </row>
    <row r="105" spans="1:13" ht="15" customHeight="1" x14ac:dyDescent="0.25">
      <c r="A105" s="45">
        <v>23</v>
      </c>
      <c r="B105" s="45" t="b" cm="1">
        <f t="array" ref="B105">_xlfn.LET(
  _xlpm.ids, VALUE(_xlfn.TEXTSPLIT(A105,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5" s="45" t="s">
        <v>93</v>
      </c>
      <c r="D105" s="8" t="s">
        <v>519</v>
      </c>
      <c r="E105" s="8" t="s">
        <v>344</v>
      </c>
      <c r="F105" s="8"/>
      <c r="G105" s="8" t="s">
        <v>115</v>
      </c>
      <c r="H105" s="8"/>
      <c r="I105" s="8"/>
      <c r="J105" s="8" t="s">
        <v>638</v>
      </c>
      <c r="K105" s="8" t="s">
        <v>515</v>
      </c>
      <c r="L105" s="8"/>
      <c r="M105" s="8"/>
    </row>
    <row r="106" spans="1:13" ht="15" customHeight="1" x14ac:dyDescent="0.25">
      <c r="A106" s="45">
        <v>23</v>
      </c>
      <c r="B106" s="45" t="b" cm="1">
        <f t="array" ref="B106">_xlfn.LET(
  _xlpm.ids, VALUE(_xlfn.TEXTSPLIT(A106,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6" s="45" t="s">
        <v>93</v>
      </c>
      <c r="D106" s="8" t="s">
        <v>519</v>
      </c>
      <c r="E106" s="8" t="s">
        <v>757</v>
      </c>
      <c r="F106" s="8"/>
      <c r="G106" s="8" t="s">
        <v>216</v>
      </c>
      <c r="H106" s="8"/>
      <c r="I106" s="8"/>
      <c r="J106" s="8" t="s">
        <v>782</v>
      </c>
      <c r="K106" s="8" t="s">
        <v>205</v>
      </c>
      <c r="L106" s="8"/>
      <c r="M106" s="8"/>
    </row>
    <row r="107" spans="1:13" ht="15" customHeight="1" x14ac:dyDescent="0.25">
      <c r="A107" s="55" t="s">
        <v>1201</v>
      </c>
      <c r="B107" s="55" t="str" cm="1">
        <f t="array" ref="B107">_xlfn.LET(
  _xlpm.ids, VALUE(_xlfn.TEXTSPLIT(A107,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107" s="55" t="s">
        <v>93</v>
      </c>
      <c r="D107" s="15" t="s">
        <v>519</v>
      </c>
      <c r="E107" s="15" t="s">
        <v>344</v>
      </c>
      <c r="F107" s="15"/>
      <c r="G107" s="15" t="s">
        <v>290</v>
      </c>
      <c r="H107" s="15"/>
      <c r="I107" s="15"/>
      <c r="J107" s="15" t="s">
        <v>602</v>
      </c>
      <c r="K107" s="15" t="s">
        <v>148</v>
      </c>
      <c r="L107" s="15"/>
      <c r="M107" s="15"/>
    </row>
    <row r="108" spans="1:13" ht="15" customHeight="1" x14ac:dyDescent="0.25">
      <c r="A108" s="44">
        <v>21</v>
      </c>
      <c r="B108" s="44" t="b" cm="1">
        <f t="array" ref="B108">_xlfn.LET(
  _xlpm.ids, VALUE(_xlfn.TEXTSPLIT(A108,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08" s="44" t="s">
        <v>93</v>
      </c>
      <c r="D108" s="10" t="s">
        <v>1183</v>
      </c>
      <c r="E108" s="10" t="s">
        <v>344</v>
      </c>
      <c r="F108" s="10"/>
      <c r="G108" s="10" t="s">
        <v>179</v>
      </c>
      <c r="H108" s="10"/>
      <c r="I108" s="10"/>
      <c r="J108" s="4" t="s">
        <v>640</v>
      </c>
      <c r="K108" s="4" t="s">
        <v>107</v>
      </c>
      <c r="L108" s="10"/>
      <c r="M108" s="10"/>
    </row>
    <row r="109" spans="1:13" ht="15" customHeight="1" x14ac:dyDescent="0.25">
      <c r="A109" s="55">
        <v>12</v>
      </c>
      <c r="B109" s="55" t="b" cm="1">
        <f t="array" ref="B109">_xlfn.LET(
  _xlpm.ids, VALUE(_xlfn.TEXTSPLIT(A109,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9" s="55" t="s">
        <v>93</v>
      </c>
      <c r="D109" s="8" t="s">
        <v>203</v>
      </c>
      <c r="E109" s="15" t="s">
        <v>1051</v>
      </c>
      <c r="F109" s="15"/>
      <c r="G109" s="15" t="s">
        <v>115</v>
      </c>
      <c r="H109" s="15"/>
      <c r="I109" s="15"/>
      <c r="J109" s="15" t="s">
        <v>502</v>
      </c>
      <c r="K109" s="15" t="s">
        <v>202</v>
      </c>
      <c r="L109" s="15"/>
      <c r="M109" s="15"/>
    </row>
    <row r="110" spans="1:13" ht="15" customHeight="1" x14ac:dyDescent="0.25">
      <c r="A110" s="55">
        <v>10</v>
      </c>
      <c r="B110" s="55" t="b" cm="1">
        <f t="array" ref="B110">_xlfn.LET(
  _xlpm.ids, VALUE(_xlfn.TEXTSPLIT(A110,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10" s="55" t="s">
        <v>93</v>
      </c>
      <c r="D110" s="15"/>
      <c r="E110" s="15" t="s">
        <v>1203</v>
      </c>
      <c r="F110" s="15"/>
      <c r="G110" s="15" t="s">
        <v>275</v>
      </c>
      <c r="H110" s="15"/>
      <c r="I110" s="15"/>
      <c r="J110" s="15" t="s">
        <v>566</v>
      </c>
      <c r="K110" s="15" t="s">
        <v>148</v>
      </c>
      <c r="L110" s="15"/>
      <c r="M110" s="15"/>
    </row>
    <row r="111" spans="1:13" ht="15" customHeight="1" x14ac:dyDescent="0.25">
      <c r="A111" s="45" t="s">
        <v>1188</v>
      </c>
      <c r="B111" s="45" t="str" cm="1">
        <f t="array" ref="B111">_xlfn.LET(
  _xlpm.ids, VALUE(_xlfn.TEXTSPLIT(A111,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111" s="45" t="s">
        <v>93</v>
      </c>
      <c r="D111" s="8" t="s">
        <v>519</v>
      </c>
      <c r="E111" s="8" t="s">
        <v>757</v>
      </c>
      <c r="F111" s="8"/>
      <c r="G111" s="8" t="s">
        <v>115</v>
      </c>
      <c r="H111" s="8"/>
      <c r="I111" s="8"/>
      <c r="J111" s="4" t="s">
        <v>768</v>
      </c>
      <c r="K111" s="4" t="s">
        <v>1204</v>
      </c>
      <c r="L111" s="8"/>
      <c r="M111" s="8"/>
    </row>
    <row r="112" spans="1:13" ht="15" customHeight="1" x14ac:dyDescent="0.25">
      <c r="A112" s="45">
        <v>26</v>
      </c>
      <c r="B112" s="45" t="b" cm="1">
        <f t="array" ref="B112">_xlfn.LET(
  _xlpm.ids, VALUE(_xlfn.TEXTSPLIT(A112,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2" s="45" t="s">
        <v>93</v>
      </c>
      <c r="D112" s="8" t="s">
        <v>519</v>
      </c>
      <c r="E112" s="8" t="s">
        <v>344</v>
      </c>
      <c r="F112" s="8"/>
      <c r="G112" s="8" t="s">
        <v>115</v>
      </c>
      <c r="H112" s="8"/>
      <c r="I112" s="8"/>
      <c r="J112" s="8" t="s">
        <v>617</v>
      </c>
      <c r="K112" s="8" t="s">
        <v>134</v>
      </c>
      <c r="L112" s="8"/>
      <c r="M112" s="8"/>
    </row>
    <row r="113" spans="1:13" ht="15" customHeight="1" x14ac:dyDescent="0.25">
      <c r="A113" s="45" t="s">
        <v>208</v>
      </c>
      <c r="B113" s="45" t="b" cm="1">
        <f t="array" ref="B113">_xlfn.LET(
  _xlpm.ids, VALUE(_xlfn.TEXTSPLIT(A113,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3" s="45" t="s">
        <v>93</v>
      </c>
      <c r="D113" s="16" t="s">
        <v>203</v>
      </c>
      <c r="E113" s="16" t="s">
        <v>1193</v>
      </c>
      <c r="F113" s="16"/>
      <c r="G113" s="16" t="s">
        <v>115</v>
      </c>
      <c r="H113" s="16"/>
      <c r="I113" s="16"/>
      <c r="J113" s="8" t="s">
        <v>532</v>
      </c>
      <c r="K113" s="8" t="s">
        <v>209</v>
      </c>
      <c r="L113" s="19"/>
      <c r="M113" s="8"/>
    </row>
    <row r="114" spans="1:13" ht="15" customHeight="1" x14ac:dyDescent="0.25">
      <c r="A114" s="45">
        <v>3</v>
      </c>
      <c r="B114" s="45" t="b" cm="1">
        <f t="array" ref="B114">_xlfn.LET(
  _xlpm.ids, VALUE(_xlfn.TEXTSPLIT(A114,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4" s="45" t="s">
        <v>93</v>
      </c>
      <c r="D114" s="8" t="s">
        <v>203</v>
      </c>
      <c r="E114" s="8" t="s">
        <v>1051</v>
      </c>
      <c r="F114" s="8"/>
      <c r="G114" s="8" t="s">
        <v>503</v>
      </c>
      <c r="H114" s="8"/>
      <c r="I114" s="8"/>
      <c r="J114" s="4" t="s">
        <v>504</v>
      </c>
      <c r="K114" s="4" t="s">
        <v>122</v>
      </c>
      <c r="L114" s="8"/>
      <c r="M114" s="8"/>
    </row>
    <row r="115" spans="1:13" ht="15" customHeight="1" x14ac:dyDescent="0.25">
      <c r="A115" s="47" t="s">
        <v>208</v>
      </c>
      <c r="B115" s="47" t="b" cm="1">
        <f t="array" ref="B115">_xlfn.LET(
  _xlpm.ids, VALUE(_xlfn.TEXTSPLIT(A115,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5" s="47" t="s">
        <v>93</v>
      </c>
      <c r="D115" s="24" t="s">
        <v>203</v>
      </c>
      <c r="E115" s="24"/>
      <c r="F115" s="24"/>
      <c r="G115" s="24" t="s">
        <v>115</v>
      </c>
      <c r="H115" s="24"/>
      <c r="I115" s="24"/>
      <c r="J115" s="21" t="s">
        <v>207</v>
      </c>
      <c r="K115" s="21" t="s">
        <v>209</v>
      </c>
      <c r="L115" s="23"/>
      <c r="M115" s="21"/>
    </row>
    <row r="116" spans="1:13" ht="15" customHeight="1" x14ac:dyDescent="0.25">
      <c r="A116" s="54" t="s">
        <v>1188</v>
      </c>
      <c r="B116" s="54" t="str" cm="1">
        <f t="array" ref="B116">_xlfn.LET(
  _xlpm.ids, VALUE(_xlfn.TEXTSPLIT(A116,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116" s="54" t="s">
        <v>93</v>
      </c>
      <c r="D116" s="8" t="s">
        <v>203</v>
      </c>
      <c r="E116" s="25"/>
      <c r="F116" s="25"/>
      <c r="G116" s="25" t="s">
        <v>503</v>
      </c>
      <c r="H116" s="25"/>
      <c r="I116" s="25"/>
      <c r="J116" s="3" t="s">
        <v>684</v>
      </c>
      <c r="K116" s="3" t="s">
        <v>1204</v>
      </c>
      <c r="L116" s="25"/>
      <c r="M116" s="25"/>
    </row>
    <row r="117" spans="1:13" ht="15" customHeight="1" x14ac:dyDescent="0.25">
      <c r="A117" s="45">
        <v>5</v>
      </c>
      <c r="B117" s="45" t="b" cm="1">
        <f t="array" ref="B117">_xlfn.LET(
  _xlpm.ids, VALUE(_xlfn.TEXTSPLIT(A117,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7" s="45" t="s">
        <v>93</v>
      </c>
      <c r="D117" s="8" t="s">
        <v>1158</v>
      </c>
      <c r="E117" s="8" t="s">
        <v>1158</v>
      </c>
      <c r="F117" s="8"/>
      <c r="G117" s="8" t="s">
        <v>115</v>
      </c>
      <c r="H117" s="8"/>
      <c r="I117" s="8"/>
      <c r="J117" s="4" t="s">
        <v>912</v>
      </c>
      <c r="K117" s="4" t="s">
        <v>157</v>
      </c>
      <c r="L117" s="8"/>
      <c r="M117" s="8" t="s">
        <v>544</v>
      </c>
    </row>
    <row r="118" spans="1:13" ht="15" customHeight="1" x14ac:dyDescent="0.25">
      <c r="A118" s="45">
        <v>5</v>
      </c>
      <c r="B118" s="45" t="b" cm="1">
        <f t="array" ref="B118">_xlfn.LET(
  _xlpm.ids, VALUE(_xlfn.TEXTSPLIT(A118,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8" s="45" t="s">
        <v>93</v>
      </c>
      <c r="D118" s="8" t="s">
        <v>519</v>
      </c>
      <c r="E118" s="8" t="s">
        <v>757</v>
      </c>
      <c r="F118" s="8"/>
      <c r="G118" s="8" t="s">
        <v>115</v>
      </c>
      <c r="H118" s="8"/>
      <c r="I118" s="8"/>
      <c r="J118" s="4" t="s">
        <v>769</v>
      </c>
      <c r="K118" s="4" t="s">
        <v>157</v>
      </c>
      <c r="L118" s="8"/>
      <c r="M118" s="8"/>
    </row>
    <row r="119" spans="1:13" ht="15" customHeight="1" x14ac:dyDescent="0.25">
      <c r="A119" s="44">
        <v>13</v>
      </c>
      <c r="B119" s="44" t="b" cm="1">
        <f t="array" ref="B119">_xlfn.LET(
  _xlpm.ids, VALUE(_xlfn.TEXTSPLIT(A119,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9" s="44" t="s">
        <v>93</v>
      </c>
      <c r="D119" s="10" t="s">
        <v>1183</v>
      </c>
      <c r="E119" s="10" t="s">
        <v>344</v>
      </c>
      <c r="F119" s="10"/>
      <c r="G119" s="10" t="s">
        <v>115</v>
      </c>
      <c r="H119" s="10"/>
      <c r="I119" s="10"/>
      <c r="J119" s="4" t="s">
        <v>618</v>
      </c>
      <c r="K119" s="4" t="s">
        <v>151</v>
      </c>
      <c r="L119" s="10"/>
      <c r="M119" s="10"/>
    </row>
    <row r="120" spans="1:13" ht="15" customHeight="1" x14ac:dyDescent="0.25">
      <c r="A120" s="44">
        <v>13</v>
      </c>
      <c r="B120" s="44" t="b" cm="1">
        <f t="array" ref="B120">_xlfn.LET(
  _xlpm.ids, VALUE(_xlfn.TEXTSPLIT(A120,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0" s="44" t="s">
        <v>93</v>
      </c>
      <c r="D120" s="10" t="s">
        <v>1183</v>
      </c>
      <c r="E120" s="10" t="s">
        <v>344</v>
      </c>
      <c r="F120" s="10"/>
      <c r="G120" s="10" t="s">
        <v>115</v>
      </c>
      <c r="H120" s="10"/>
      <c r="I120" s="10"/>
      <c r="J120" s="4" t="s">
        <v>619</v>
      </c>
      <c r="K120" s="4" t="s">
        <v>151</v>
      </c>
      <c r="L120" s="10"/>
      <c r="M120" s="10"/>
    </row>
    <row r="121" spans="1:13" ht="15" customHeight="1" x14ac:dyDescent="0.25">
      <c r="A121" s="44">
        <v>15</v>
      </c>
      <c r="B121" s="44" t="b" cm="1">
        <f t="array" ref="B121">_xlfn.LET(
  _xlpm.ids, VALUE(_xlfn.TEXTSPLIT(A121,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1" s="44" t="s">
        <v>93</v>
      </c>
      <c r="D121" s="10"/>
      <c r="E121" s="10" t="s">
        <v>546</v>
      </c>
      <c r="F121" s="10"/>
      <c r="G121" s="10" t="s">
        <v>295</v>
      </c>
      <c r="H121" s="10"/>
      <c r="I121" s="10"/>
      <c r="J121" s="4" t="s">
        <v>550</v>
      </c>
      <c r="K121" s="4" t="s">
        <v>153</v>
      </c>
      <c r="L121" s="10"/>
      <c r="M121" s="10"/>
    </row>
    <row r="122" spans="1:13" ht="15" customHeight="1" x14ac:dyDescent="0.25">
      <c r="A122" s="55">
        <v>10</v>
      </c>
      <c r="B122" s="55" t="b" cm="1">
        <f t="array" ref="B122">_xlfn.LET(
  _xlpm.ids, VALUE(_xlfn.TEXTSPLIT(A122,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22" s="55" t="s">
        <v>93</v>
      </c>
      <c r="D122" s="15" t="s">
        <v>519</v>
      </c>
      <c r="E122" s="15" t="s">
        <v>344</v>
      </c>
      <c r="F122" s="15"/>
      <c r="G122" s="10" t="s">
        <v>175</v>
      </c>
      <c r="H122" s="10"/>
      <c r="I122" s="10"/>
      <c r="J122" s="15" t="s">
        <v>587</v>
      </c>
      <c r="K122" s="15" t="s">
        <v>148</v>
      </c>
      <c r="L122" s="15"/>
      <c r="M122" s="15"/>
    </row>
    <row r="123" spans="1:13" ht="15" customHeight="1" x14ac:dyDescent="0.25">
      <c r="A123" s="44">
        <v>9</v>
      </c>
      <c r="B123" s="44" t="b" cm="1">
        <f t="array" ref="B123">_xlfn.LET(
  _xlpm.ids, VALUE(_xlfn.TEXTSPLIT(A123,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23" s="44" t="s">
        <v>93</v>
      </c>
      <c r="D123" s="10" t="s">
        <v>1180</v>
      </c>
      <c r="E123" s="10" t="s">
        <v>344</v>
      </c>
      <c r="F123" s="10"/>
      <c r="G123" s="10" t="s">
        <v>295</v>
      </c>
      <c r="H123" s="10"/>
      <c r="I123" s="10"/>
      <c r="J123" s="4" t="s">
        <v>643</v>
      </c>
      <c r="K123" s="4" t="s">
        <v>112</v>
      </c>
      <c r="L123" s="10"/>
      <c r="M123" s="10"/>
    </row>
    <row r="124" spans="1:13" ht="15" customHeight="1" x14ac:dyDescent="0.25">
      <c r="A124" s="55">
        <v>16</v>
      </c>
      <c r="B124" s="55" t="b" cm="1">
        <f t="array" ref="B124">_xlfn.LET(
  _xlpm.ids, VALUE(_xlfn.TEXTSPLIT(A124,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4" s="55" t="s">
        <v>93</v>
      </c>
      <c r="D124" s="8" t="s">
        <v>203</v>
      </c>
      <c r="E124" s="15" t="s">
        <v>1051</v>
      </c>
      <c r="F124" s="15"/>
      <c r="G124" s="15" t="s">
        <v>115</v>
      </c>
      <c r="H124" s="15"/>
      <c r="I124" s="15"/>
      <c r="J124" s="15" t="s">
        <v>499</v>
      </c>
      <c r="K124" s="15" t="s">
        <v>244</v>
      </c>
      <c r="L124" s="15"/>
      <c r="M124" s="15"/>
    </row>
    <row r="125" spans="1:13" ht="15" customHeight="1" x14ac:dyDescent="0.25">
      <c r="A125" s="45" t="s">
        <v>126</v>
      </c>
      <c r="B125" s="45" t="b" cm="1">
        <f t="array" ref="B125">_xlfn.LET(
  _xlpm.ids, VALUE(_xlfn.TEXTSPLIT(A125,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25" s="45" t="s">
        <v>93</v>
      </c>
      <c r="D125" s="8" t="s">
        <v>203</v>
      </c>
      <c r="E125" s="8" t="s">
        <v>546</v>
      </c>
      <c r="F125" s="8"/>
      <c r="G125" s="8" t="s">
        <v>216</v>
      </c>
      <c r="H125" s="8"/>
      <c r="I125" s="8"/>
      <c r="J125" s="4" t="s">
        <v>572</v>
      </c>
      <c r="K125" s="4" t="s">
        <v>573</v>
      </c>
      <c r="L125" s="8"/>
      <c r="M125" s="8"/>
    </row>
    <row r="126" spans="1:13" ht="15" customHeight="1" x14ac:dyDescent="0.25">
      <c r="A126" s="46">
        <v>19</v>
      </c>
      <c r="B126" s="46" t="b" cm="1">
        <f t="array" ref="B126">_xlfn.LET(
  _xlpm.ids, VALUE(_xlfn.TEXTSPLIT(A126,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6" s="46" t="s">
        <v>93</v>
      </c>
      <c r="D126" s="21" t="s">
        <v>203</v>
      </c>
      <c r="E126" s="13" t="s">
        <v>1051</v>
      </c>
      <c r="F126" s="13"/>
      <c r="G126" s="13" t="s">
        <v>124</v>
      </c>
      <c r="H126" s="13"/>
      <c r="I126" s="13"/>
      <c r="J126" s="7" t="s">
        <v>533</v>
      </c>
      <c r="K126" s="7" t="s">
        <v>309</v>
      </c>
      <c r="L126" s="21"/>
      <c r="M126" s="13" t="s">
        <v>262</v>
      </c>
    </row>
    <row r="127" spans="1:13" ht="15" customHeight="1" x14ac:dyDescent="0.25">
      <c r="A127" s="45">
        <v>1</v>
      </c>
      <c r="B127" s="45" t="b" cm="1">
        <f t="array" ref="B127">_xlfn.LET(
  _xlpm.ids, VALUE(_xlfn.TEXTSPLIT(A127,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27" s="45" t="s">
        <v>93</v>
      </c>
      <c r="D127" s="8" t="s">
        <v>203</v>
      </c>
      <c r="E127" s="8" t="s">
        <v>546</v>
      </c>
      <c r="F127" s="8"/>
      <c r="G127" s="8" t="s">
        <v>115</v>
      </c>
      <c r="H127" s="8"/>
      <c r="I127" s="8"/>
      <c r="J127" s="4" t="s">
        <v>579</v>
      </c>
      <c r="K127" s="4" t="s">
        <v>263</v>
      </c>
      <c r="L127" s="8"/>
      <c r="M127" s="8"/>
    </row>
    <row r="128" spans="1:13" ht="15" customHeight="1" x14ac:dyDescent="0.25">
      <c r="A128" s="44">
        <v>7</v>
      </c>
      <c r="B128" s="44" t="b" cm="1">
        <f t="array" ref="B128">_xlfn.LET(
  _xlpm.ids, VALUE(_xlfn.TEXTSPLIT(A128,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28" s="44" t="s">
        <v>93</v>
      </c>
      <c r="D128" s="10" t="s">
        <v>1180</v>
      </c>
      <c r="E128" s="10" t="s">
        <v>344</v>
      </c>
      <c r="F128" s="10"/>
      <c r="G128" s="10" t="s">
        <v>110</v>
      </c>
      <c r="H128" s="10"/>
      <c r="I128" s="10"/>
      <c r="J128" s="4" t="s">
        <v>644</v>
      </c>
      <c r="K128" s="4" t="s">
        <v>153</v>
      </c>
      <c r="L128" s="10"/>
      <c r="M128" s="10"/>
    </row>
    <row r="129" spans="1:13" ht="15" customHeight="1" x14ac:dyDescent="0.25">
      <c r="A129" s="44">
        <v>7</v>
      </c>
      <c r="B129" s="44" t="b" cm="1">
        <f t="array" ref="B129">_xlfn.LET(
  _xlpm.ids, VALUE(_xlfn.TEXTSPLIT(A129,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29" s="44" t="s">
        <v>93</v>
      </c>
      <c r="D129" s="10" t="s">
        <v>1180</v>
      </c>
      <c r="E129" s="10" t="s">
        <v>344</v>
      </c>
      <c r="F129" s="10"/>
      <c r="G129" s="10" t="s">
        <v>110</v>
      </c>
      <c r="H129" s="10"/>
      <c r="I129" s="10"/>
      <c r="J129" s="4" t="s">
        <v>645</v>
      </c>
      <c r="K129" s="4" t="s">
        <v>153</v>
      </c>
      <c r="L129" s="10"/>
      <c r="M129" s="10"/>
    </row>
    <row r="130" spans="1:13" ht="15" customHeight="1" x14ac:dyDescent="0.25">
      <c r="A130" s="55">
        <v>10</v>
      </c>
      <c r="B130" s="55" t="b" cm="1">
        <f t="array" ref="B130">_xlfn.LET(
  _xlpm.ids, VALUE(_xlfn.TEXTSPLIT(A130,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30" s="55" t="s">
        <v>93</v>
      </c>
      <c r="D130" s="10" t="s">
        <v>1180</v>
      </c>
      <c r="E130" s="8" t="s">
        <v>344</v>
      </c>
      <c r="F130" s="8"/>
      <c r="G130" s="15" t="s">
        <v>604</v>
      </c>
      <c r="H130" s="15"/>
      <c r="I130" s="15"/>
      <c r="J130" s="15" t="s">
        <v>646</v>
      </c>
      <c r="K130" s="15" t="s">
        <v>148</v>
      </c>
      <c r="L130" s="15"/>
      <c r="M130" s="15"/>
    </row>
    <row r="131" spans="1:13" ht="15" customHeight="1" x14ac:dyDescent="0.25">
      <c r="A131" s="45">
        <v>26</v>
      </c>
      <c r="B131" s="45" t="b" cm="1">
        <f t="array" ref="B131">_xlfn.LET(
  _xlpm.ids, VALUE(_xlfn.TEXTSPLIT(A131,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1" s="45" t="s">
        <v>93</v>
      </c>
      <c r="D131" s="8" t="s">
        <v>519</v>
      </c>
      <c r="E131" s="8" t="s">
        <v>757</v>
      </c>
      <c r="F131" s="8"/>
      <c r="G131" s="8" t="s">
        <v>110</v>
      </c>
      <c r="H131" s="8"/>
      <c r="I131" s="8"/>
      <c r="J131" s="8" t="s">
        <v>781</v>
      </c>
      <c r="K131" s="8" t="s">
        <v>134</v>
      </c>
      <c r="L131" s="8"/>
      <c r="M131" s="8" t="s">
        <v>169</v>
      </c>
    </row>
    <row r="132" spans="1:13" ht="15" customHeight="1" x14ac:dyDescent="0.25">
      <c r="A132" s="45">
        <v>5</v>
      </c>
      <c r="B132" s="45" t="b" cm="1">
        <f t="array" ref="B132">_xlfn.LET(
  _xlpm.ids, VALUE(_xlfn.TEXTSPLIT(A132,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2" s="45" t="s">
        <v>93</v>
      </c>
      <c r="D132" s="8" t="s">
        <v>203</v>
      </c>
      <c r="E132" s="8" t="s">
        <v>798</v>
      </c>
      <c r="F132" s="8"/>
      <c r="G132" s="8" t="s">
        <v>124</v>
      </c>
      <c r="H132" s="8"/>
      <c r="I132" s="8"/>
      <c r="J132" s="4" t="s">
        <v>885</v>
      </c>
      <c r="K132" s="4" t="s">
        <v>157</v>
      </c>
      <c r="L132" s="8"/>
      <c r="M132" s="8"/>
    </row>
    <row r="133" spans="1:13" ht="15" customHeight="1" x14ac:dyDescent="0.25">
      <c r="A133" s="45">
        <v>2</v>
      </c>
      <c r="B133" s="45" t="b" cm="1">
        <f t="array" ref="B133">_xlfn.LET(
  _xlpm.ids, VALUE(_xlfn.TEXTSPLIT(A133,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33" s="45" t="s">
        <v>93</v>
      </c>
      <c r="D133" s="8" t="s">
        <v>203</v>
      </c>
      <c r="E133" s="4" t="s">
        <v>1205</v>
      </c>
      <c r="F133" s="4"/>
      <c r="G133" s="4" t="s">
        <v>882</v>
      </c>
      <c r="H133" s="4"/>
      <c r="I133" s="4"/>
      <c r="J133" s="4" t="s">
        <v>491</v>
      </c>
      <c r="K133" s="4" t="s">
        <v>265</v>
      </c>
      <c r="L133" s="8"/>
      <c r="M133" s="8" t="s">
        <v>476</v>
      </c>
    </row>
    <row r="134" spans="1:13" ht="15" customHeight="1" x14ac:dyDescent="0.25">
      <c r="A134" s="44">
        <v>15</v>
      </c>
      <c r="B134" s="44" t="b" cm="1">
        <f t="array" ref="B134">_xlfn.LET(
  _xlpm.ids, VALUE(_xlfn.TEXTSPLIT(A134,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4" s="44" t="s">
        <v>93</v>
      </c>
      <c r="D134" s="10"/>
      <c r="E134" s="10" t="s">
        <v>546</v>
      </c>
      <c r="F134" s="10"/>
      <c r="G134" s="10" t="s">
        <v>295</v>
      </c>
      <c r="H134" s="10"/>
      <c r="I134" s="10"/>
      <c r="J134" s="4" t="s">
        <v>552</v>
      </c>
      <c r="K134" s="4" t="s">
        <v>153</v>
      </c>
      <c r="L134" s="10"/>
      <c r="M134" s="10"/>
    </row>
    <row r="135" spans="1:13" ht="15" customHeight="1" x14ac:dyDescent="0.25">
      <c r="A135" s="55">
        <v>10</v>
      </c>
      <c r="B135" s="55" t="b" cm="1">
        <f t="array" ref="B135">_xlfn.LET(
  _xlpm.ids, VALUE(_xlfn.TEXTSPLIT(A135,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35" s="55" t="s">
        <v>93</v>
      </c>
      <c r="D135" s="8" t="s">
        <v>203</v>
      </c>
      <c r="E135" s="15" t="s">
        <v>260</v>
      </c>
      <c r="F135" s="15"/>
      <c r="G135" s="15" t="s">
        <v>110</v>
      </c>
      <c r="H135" s="15"/>
      <c r="I135" s="15"/>
      <c r="J135" s="15" t="s">
        <v>886</v>
      </c>
      <c r="K135" s="15" t="s">
        <v>148</v>
      </c>
      <c r="L135" s="15"/>
      <c r="M135" s="15"/>
    </row>
    <row r="136" spans="1:13" ht="15" customHeight="1" x14ac:dyDescent="0.25">
      <c r="A136" s="55">
        <v>11</v>
      </c>
      <c r="B136" s="55" t="b" cm="1">
        <f t="array" ref="B136">_xlfn.LET(
  _xlpm.ids, VALUE(_xlfn.TEXTSPLIT(A136,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36" s="55" t="s">
        <v>93</v>
      </c>
      <c r="D136" s="8" t="s">
        <v>203</v>
      </c>
      <c r="E136" s="15" t="s">
        <v>1051</v>
      </c>
      <c r="F136" s="15"/>
      <c r="G136" s="15" t="s">
        <v>115</v>
      </c>
      <c r="H136" s="15"/>
      <c r="I136" s="15"/>
      <c r="J136" s="15" t="s">
        <v>536</v>
      </c>
      <c r="K136" s="15" t="s">
        <v>313</v>
      </c>
      <c r="L136" s="15"/>
      <c r="M136" s="15"/>
    </row>
    <row r="137" spans="1:13" ht="15" customHeight="1" x14ac:dyDescent="0.25">
      <c r="A137" s="44">
        <v>22</v>
      </c>
      <c r="B137" s="44" t="b" cm="1">
        <f t="array" ref="B137">_xlfn.LET(
  _xlpm.ids, VALUE(_xlfn.TEXTSPLIT(A137,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7" s="44" t="s">
        <v>93</v>
      </c>
      <c r="D137" s="10" t="s">
        <v>1158</v>
      </c>
      <c r="E137" s="10" t="s">
        <v>1158</v>
      </c>
      <c r="F137" s="10"/>
      <c r="G137" s="10" t="s">
        <v>641</v>
      </c>
      <c r="H137" s="10"/>
      <c r="I137" s="10"/>
      <c r="J137" s="4" t="s">
        <v>891</v>
      </c>
      <c r="K137" s="4" t="s">
        <v>112</v>
      </c>
      <c r="L137" s="10"/>
      <c r="M137" s="10"/>
    </row>
    <row r="138" spans="1:13" ht="15" customHeight="1" x14ac:dyDescent="0.25">
      <c r="A138" s="44">
        <v>15</v>
      </c>
      <c r="B138" s="44" t="b" cm="1">
        <f t="array" ref="B138">_xlfn.LET(
  _xlpm.ids, VALUE(_xlfn.TEXTSPLIT(A138,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8" s="44" t="s">
        <v>93</v>
      </c>
      <c r="D138" s="10" t="s">
        <v>1180</v>
      </c>
      <c r="E138" s="8" t="s">
        <v>344</v>
      </c>
      <c r="F138" s="8"/>
      <c r="G138" s="10" t="s">
        <v>641</v>
      </c>
      <c r="H138" s="10"/>
      <c r="I138" s="10"/>
      <c r="J138" s="4" t="s">
        <v>642</v>
      </c>
      <c r="K138" s="4" t="s">
        <v>153</v>
      </c>
      <c r="L138" s="10"/>
      <c r="M138" s="10"/>
    </row>
    <row r="139" spans="1:13" ht="15" customHeight="1" x14ac:dyDescent="0.25">
      <c r="A139" s="44" t="s">
        <v>190</v>
      </c>
      <c r="B139" s="44" t="b" cm="1">
        <f t="array" ref="B139">_xlfn.LET(
  _xlpm.ids, VALUE(_xlfn.TEXTSPLIT(A139,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39" s="44" t="s">
        <v>93</v>
      </c>
      <c r="D139" s="10" t="s">
        <v>1180</v>
      </c>
      <c r="E139" s="10" t="s">
        <v>757</v>
      </c>
      <c r="F139" s="10"/>
      <c r="G139" s="10" t="s">
        <v>124</v>
      </c>
      <c r="H139" s="10"/>
      <c r="I139" s="10"/>
      <c r="J139" s="4" t="s">
        <v>762</v>
      </c>
      <c r="K139" s="4" t="s">
        <v>127</v>
      </c>
      <c r="L139" s="10"/>
      <c r="M139" s="10"/>
    </row>
    <row r="140" spans="1:13" ht="15" customHeight="1" x14ac:dyDescent="0.25">
      <c r="A140" s="55">
        <v>10</v>
      </c>
      <c r="B140" s="55" t="b" cm="1">
        <f t="array" ref="B140">_xlfn.LET(
  _xlpm.ids, VALUE(_xlfn.TEXTSPLIT(A140,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40" s="55" t="s">
        <v>93</v>
      </c>
      <c r="D140" s="8" t="s">
        <v>203</v>
      </c>
      <c r="E140" s="15" t="s">
        <v>798</v>
      </c>
      <c r="F140" s="15"/>
      <c r="G140" s="15" t="s">
        <v>146</v>
      </c>
      <c r="H140" s="15"/>
      <c r="I140" s="15"/>
      <c r="J140" s="15" t="s">
        <v>887</v>
      </c>
      <c r="K140" s="15" t="s">
        <v>148</v>
      </c>
      <c r="L140" s="15"/>
      <c r="M140" s="15"/>
    </row>
    <row r="141" spans="1:13" ht="15" customHeight="1" x14ac:dyDescent="0.25">
      <c r="A141" s="45">
        <v>23</v>
      </c>
      <c r="B141" s="45" t="b" cm="1">
        <f t="array" ref="B141">_xlfn.LET(
  _xlpm.ids, VALUE(_xlfn.TEXTSPLIT(A141,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1" s="45" t="s">
        <v>93</v>
      </c>
      <c r="D141" s="10" t="s">
        <v>805</v>
      </c>
      <c r="E141" s="10" t="s">
        <v>248</v>
      </c>
      <c r="F141" s="10"/>
      <c r="G141" s="10" t="s">
        <v>115</v>
      </c>
      <c r="H141" s="10"/>
      <c r="I141" s="10"/>
      <c r="J141" s="8" t="s">
        <v>255</v>
      </c>
      <c r="K141" s="8" t="s">
        <v>256</v>
      </c>
      <c r="L141" s="8"/>
      <c r="M141" s="8"/>
    </row>
    <row r="142" spans="1:13" ht="15" customHeight="1" x14ac:dyDescent="0.25">
      <c r="A142" s="45">
        <v>23</v>
      </c>
      <c r="B142" s="45" t="b" cm="1">
        <f t="array" ref="B142">_xlfn.LET(
  _xlpm.ids, VALUE(_xlfn.TEXTSPLIT(A142,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2" s="45" t="s">
        <v>93</v>
      </c>
      <c r="D142" s="8" t="s">
        <v>805</v>
      </c>
      <c r="E142" s="8" t="s">
        <v>798</v>
      </c>
      <c r="F142" s="8"/>
      <c r="G142" s="8" t="s">
        <v>110</v>
      </c>
      <c r="H142" s="8"/>
      <c r="I142" s="8"/>
      <c r="J142" s="8" t="s">
        <v>888</v>
      </c>
      <c r="K142" s="8" t="s">
        <v>205</v>
      </c>
      <c r="L142" s="8"/>
      <c r="M142" s="8"/>
    </row>
    <row r="143" spans="1:13" ht="15" customHeight="1" x14ac:dyDescent="0.25">
      <c r="A143" s="45">
        <v>23</v>
      </c>
      <c r="B143" s="45" t="b" cm="1">
        <f t="array" ref="B143">_xlfn.LET(
  _xlpm.ids, VALUE(_xlfn.TEXTSPLIT(A143,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3" s="45" t="s">
        <v>93</v>
      </c>
      <c r="D143" s="8" t="s">
        <v>805</v>
      </c>
      <c r="E143" s="8" t="s">
        <v>798</v>
      </c>
      <c r="F143" s="8"/>
      <c r="G143" s="8" t="s">
        <v>110</v>
      </c>
      <c r="H143" s="8"/>
      <c r="I143" s="8"/>
      <c r="J143" s="8" t="s">
        <v>889</v>
      </c>
      <c r="K143" s="8" t="s">
        <v>515</v>
      </c>
      <c r="L143" s="8"/>
      <c r="M143" s="8"/>
    </row>
    <row r="144" spans="1:13" ht="15" customHeight="1" x14ac:dyDescent="0.25">
      <c r="A144" s="45">
        <v>23</v>
      </c>
      <c r="B144" s="45" t="b" cm="1">
        <f t="array" ref="B144">_xlfn.LET(
  _xlpm.ids, VALUE(_xlfn.TEXTSPLIT(A144,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4" s="45" t="s">
        <v>93</v>
      </c>
      <c r="D144" s="8" t="s">
        <v>519</v>
      </c>
      <c r="E144" s="8" t="s">
        <v>757</v>
      </c>
      <c r="F144" s="8"/>
      <c r="G144" s="8" t="s">
        <v>115</v>
      </c>
      <c r="H144" s="8"/>
      <c r="I144" s="8"/>
      <c r="J144" s="8" t="s">
        <v>770</v>
      </c>
      <c r="K144" s="8" t="s">
        <v>205</v>
      </c>
      <c r="L144" s="8"/>
      <c r="M144" s="8"/>
    </row>
    <row r="145" spans="1:13" ht="15" customHeight="1" x14ac:dyDescent="0.25">
      <c r="A145" s="45">
        <v>23</v>
      </c>
      <c r="B145" s="45" t="b" cm="1">
        <f t="array" ref="B145">_xlfn.LET(
  _xlpm.ids, VALUE(_xlfn.TEXTSPLIT(A145,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5" s="45" t="s">
        <v>93</v>
      </c>
      <c r="D145" s="8" t="s">
        <v>805</v>
      </c>
      <c r="E145" s="8"/>
      <c r="F145" s="8"/>
      <c r="G145" s="8" t="s">
        <v>115</v>
      </c>
      <c r="H145" s="8"/>
      <c r="I145" s="8"/>
      <c r="J145" s="8" t="s">
        <v>380</v>
      </c>
      <c r="K145" s="8" t="s">
        <v>205</v>
      </c>
      <c r="L145" s="8"/>
      <c r="M145" s="8"/>
    </row>
    <row r="146" spans="1:13" ht="15" customHeight="1" x14ac:dyDescent="0.25">
      <c r="A146" s="44">
        <v>6</v>
      </c>
      <c r="B146" s="44" t="b" cm="1">
        <f t="array" ref="B146">_xlfn.LET(
  _xlpm.ids, VALUE(_xlfn.TEXTSPLIT(A146,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46" s="44" t="s">
        <v>93</v>
      </c>
      <c r="D146" s="8" t="s">
        <v>203</v>
      </c>
      <c r="E146" s="10" t="s">
        <v>344</v>
      </c>
      <c r="F146" s="10"/>
      <c r="G146" s="10"/>
      <c r="H146" s="10"/>
      <c r="I146" s="10"/>
      <c r="J146" s="4" t="s">
        <v>655</v>
      </c>
      <c r="K146" s="4" t="s">
        <v>119</v>
      </c>
      <c r="L146" s="10" t="s">
        <v>656</v>
      </c>
      <c r="M146" s="10" t="s">
        <v>656</v>
      </c>
    </row>
    <row r="147" spans="1:13" ht="15" customHeight="1" x14ac:dyDescent="0.25">
      <c r="A147" s="45">
        <v>24</v>
      </c>
      <c r="B147" s="45" t="b" cm="1">
        <f t="array" ref="B147">_xlfn.LET(
  _xlpm.ids, VALUE(_xlfn.TEXTSPLIT(A147,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47" s="45" t="s">
        <v>93</v>
      </c>
      <c r="D147" s="8" t="s">
        <v>1180</v>
      </c>
      <c r="E147" s="8" t="s">
        <v>344</v>
      </c>
      <c r="F147" s="8"/>
      <c r="G147" s="8" t="s">
        <v>647</v>
      </c>
      <c r="H147" s="8"/>
      <c r="I147" s="8"/>
      <c r="J147" s="8" t="s">
        <v>648</v>
      </c>
      <c r="K147" s="8" t="s">
        <v>649</v>
      </c>
      <c r="L147" s="8" t="s">
        <v>650</v>
      </c>
      <c r="M147" s="8"/>
    </row>
    <row r="148" spans="1:13" ht="15" customHeight="1" x14ac:dyDescent="0.25">
      <c r="A148" s="55">
        <v>16</v>
      </c>
      <c r="B148" s="55" t="b" cm="1">
        <f t="array" ref="B148">_xlfn.LET(
  _xlpm.ids, VALUE(_xlfn.TEXTSPLIT(A148,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8" s="55" t="s">
        <v>93</v>
      </c>
      <c r="D148" s="8" t="s">
        <v>203</v>
      </c>
      <c r="E148" s="15" t="s">
        <v>1051</v>
      </c>
      <c r="F148" s="15"/>
      <c r="G148" s="15" t="s">
        <v>530</v>
      </c>
      <c r="H148" s="15"/>
      <c r="I148" s="15"/>
      <c r="J148" s="15" t="s">
        <v>531</v>
      </c>
      <c r="K148" s="15" t="s">
        <v>244</v>
      </c>
      <c r="L148" s="15"/>
      <c r="M148" s="15"/>
    </row>
    <row r="149" spans="1:13" ht="15" customHeight="1" x14ac:dyDescent="0.25">
      <c r="A149" s="44" t="s">
        <v>190</v>
      </c>
      <c r="B149" s="44" t="b" cm="1">
        <f t="array" ref="B149">_xlfn.LET(
  _xlpm.ids, VALUE(_xlfn.TEXTSPLIT(A149,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49" s="44" t="s">
        <v>93</v>
      </c>
      <c r="D149" s="10"/>
      <c r="E149" s="10"/>
      <c r="F149" s="10"/>
      <c r="G149" s="10"/>
      <c r="H149" s="10"/>
      <c r="I149" s="10"/>
      <c r="J149" s="4" t="s">
        <v>189</v>
      </c>
      <c r="K149" s="4" t="s">
        <v>127</v>
      </c>
      <c r="L149" s="10"/>
      <c r="M149" s="10"/>
    </row>
    <row r="150" spans="1:13" ht="15" customHeight="1" x14ac:dyDescent="0.25">
      <c r="A150" s="45">
        <v>1</v>
      </c>
      <c r="B150" s="45" t="b" cm="1">
        <f t="array" ref="B150">_xlfn.LET(
  _xlpm.ids, VALUE(_xlfn.TEXTSPLIT(A150,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0" s="45" t="s">
        <v>93</v>
      </c>
      <c r="D150" s="8" t="s">
        <v>203</v>
      </c>
      <c r="E150" s="8" t="s">
        <v>546</v>
      </c>
      <c r="F150" s="8"/>
      <c r="G150" s="8" t="s">
        <v>110</v>
      </c>
      <c r="H150" s="8"/>
      <c r="I150" s="8"/>
      <c r="J150" s="4" t="s">
        <v>580</v>
      </c>
      <c r="K150" s="4" t="s">
        <v>263</v>
      </c>
      <c r="L150" s="8"/>
      <c r="M150" s="8"/>
    </row>
    <row r="151" spans="1:13" ht="15" customHeight="1" x14ac:dyDescent="0.25">
      <c r="A151" s="45">
        <v>4</v>
      </c>
      <c r="B151" s="45" t="b" cm="1">
        <f t="array" ref="B151">_xlfn.LET(
  _xlpm.ids, VALUE(_xlfn.TEXTSPLIT(A151,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1" s="45" t="s">
        <v>93</v>
      </c>
      <c r="D151" s="8" t="s">
        <v>1190</v>
      </c>
      <c r="E151" s="8" t="s">
        <v>344</v>
      </c>
      <c r="F151" s="8"/>
      <c r="G151" s="8" t="s">
        <v>295</v>
      </c>
      <c r="H151" s="8"/>
      <c r="I151" s="8"/>
      <c r="J151" s="4" t="s">
        <v>651</v>
      </c>
      <c r="K151" s="4" t="s">
        <v>247</v>
      </c>
      <c r="L151" s="8"/>
      <c r="M151" s="8"/>
    </row>
    <row r="152" spans="1:13" ht="15" customHeight="1" x14ac:dyDescent="0.25">
      <c r="A152" s="44">
        <v>13</v>
      </c>
      <c r="B152" s="44" t="b" cm="1">
        <f t="array" ref="B152">_xlfn.LET(
  _xlpm.ids, VALUE(_xlfn.TEXTSPLIT(A152,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2" s="44" t="s">
        <v>93</v>
      </c>
      <c r="D152" s="10" t="s">
        <v>1183</v>
      </c>
      <c r="E152" s="10" t="s">
        <v>344</v>
      </c>
      <c r="F152" s="10"/>
      <c r="G152" s="10" t="s">
        <v>124</v>
      </c>
      <c r="H152" s="10"/>
      <c r="I152" s="10"/>
      <c r="J152" s="4" t="s">
        <v>593</v>
      </c>
      <c r="K152" s="4" t="s">
        <v>151</v>
      </c>
      <c r="L152" s="10"/>
      <c r="M152" s="10"/>
    </row>
    <row r="153" spans="1:13" ht="15" customHeight="1" x14ac:dyDescent="0.25">
      <c r="A153" s="55">
        <v>16</v>
      </c>
      <c r="B153" s="55" t="b" cm="1">
        <f t="array" ref="B153">_xlfn.LET(
  _xlpm.ids, VALUE(_xlfn.TEXTSPLIT(A153,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3" s="55" t="s">
        <v>93</v>
      </c>
      <c r="D153" s="8" t="s">
        <v>203</v>
      </c>
      <c r="E153" s="15" t="s">
        <v>1184</v>
      </c>
      <c r="F153" s="15"/>
      <c r="G153" s="15" t="s">
        <v>868</v>
      </c>
      <c r="H153" s="15"/>
      <c r="I153" s="15"/>
      <c r="J153" s="15" t="s">
        <v>113</v>
      </c>
      <c r="K153" s="15" t="s">
        <v>244</v>
      </c>
      <c r="L153" s="15"/>
      <c r="M153" s="15"/>
    </row>
    <row r="154" spans="1:13" ht="15" customHeight="1" x14ac:dyDescent="0.25">
      <c r="A154" s="55">
        <v>11</v>
      </c>
      <c r="B154" s="55" t="b" cm="1">
        <f t="array" ref="B154">_xlfn.LET(
  _xlpm.ids, VALUE(_xlfn.TEXTSPLIT(A154,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4" s="55" t="s">
        <v>93</v>
      </c>
      <c r="D154" s="8" t="s">
        <v>203</v>
      </c>
      <c r="E154" s="15" t="s">
        <v>1051</v>
      </c>
      <c r="F154" s="15"/>
      <c r="G154" s="15" t="s">
        <v>115</v>
      </c>
      <c r="H154" s="15"/>
      <c r="I154" s="15"/>
      <c r="J154" s="15" t="s">
        <v>537</v>
      </c>
      <c r="K154" s="15" t="s">
        <v>313</v>
      </c>
      <c r="L154" s="15"/>
      <c r="M154" s="15"/>
    </row>
    <row r="155" spans="1:13" ht="15" customHeight="1" x14ac:dyDescent="0.25">
      <c r="A155" s="55">
        <v>11</v>
      </c>
      <c r="B155" s="55" t="b" cm="1">
        <f t="array" ref="B155">_xlfn.LET(
  _xlpm.ids, VALUE(_xlfn.TEXTSPLIT(A155,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5" s="55" t="s">
        <v>93</v>
      </c>
      <c r="D155" s="8" t="s">
        <v>203</v>
      </c>
      <c r="E155" s="15" t="s">
        <v>1051</v>
      </c>
      <c r="F155" s="15"/>
      <c r="G155" s="15" t="s">
        <v>115</v>
      </c>
      <c r="H155" s="15"/>
      <c r="I155" s="15"/>
      <c r="J155" s="15" t="s">
        <v>537</v>
      </c>
      <c r="K155" s="15" t="s">
        <v>313</v>
      </c>
      <c r="L155" s="15"/>
      <c r="M155" s="15"/>
    </row>
    <row r="156" spans="1:13" ht="15" customHeight="1" x14ac:dyDescent="0.25">
      <c r="A156" s="44">
        <v>22</v>
      </c>
      <c r="B156" s="44" t="b" cm="1">
        <f t="array" ref="B156">_xlfn.LET(
  _xlpm.ids, VALUE(_xlfn.TEXTSPLIT(A156,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6" s="44" t="s">
        <v>93</v>
      </c>
      <c r="D156" s="10" t="s">
        <v>1183</v>
      </c>
      <c r="E156" s="10" t="s">
        <v>757</v>
      </c>
      <c r="F156" s="10"/>
      <c r="G156" s="10" t="s">
        <v>115</v>
      </c>
      <c r="H156" s="10"/>
      <c r="I156" s="10"/>
      <c r="J156" s="4" t="s">
        <v>786</v>
      </c>
      <c r="K156" s="4" t="s">
        <v>112</v>
      </c>
      <c r="L156" s="10"/>
      <c r="M156" s="10"/>
    </row>
    <row r="157" spans="1:13" ht="15" customHeight="1" x14ac:dyDescent="0.25">
      <c r="A157" s="53">
        <v>9</v>
      </c>
      <c r="B157" s="53" t="b" cm="1">
        <f t="array" ref="B157">_xlfn.LET(
  _xlpm.ids, VALUE(_xlfn.TEXTSPLIT(A157,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7" s="53" t="s">
        <v>93</v>
      </c>
      <c r="D157" s="12"/>
      <c r="E157" s="12"/>
      <c r="F157" s="12"/>
      <c r="G157" s="12"/>
      <c r="H157" s="12"/>
      <c r="I157" s="12"/>
      <c r="J157" s="6" t="s">
        <v>1206</v>
      </c>
      <c r="K157" s="6" t="s">
        <v>112</v>
      </c>
      <c r="L157" s="12" t="s">
        <v>193</v>
      </c>
      <c r="M157" s="12"/>
    </row>
    <row r="158" spans="1:13" ht="15" customHeight="1" x14ac:dyDescent="0.25">
      <c r="A158" s="45">
        <v>24</v>
      </c>
      <c r="B158" s="45" t="b" cm="1">
        <f t="array" ref="B158">_xlfn.LET(
  _xlpm.ids, VALUE(_xlfn.TEXTSPLIT(A158,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58" s="45" t="s">
        <v>93</v>
      </c>
      <c r="D158" s="15" t="s">
        <v>1180</v>
      </c>
      <c r="E158" s="15" t="s">
        <v>344</v>
      </c>
      <c r="F158" s="15"/>
      <c r="G158" s="8" t="s">
        <v>216</v>
      </c>
      <c r="H158" s="8"/>
      <c r="I158" s="8"/>
      <c r="J158" s="8" t="s">
        <v>652</v>
      </c>
      <c r="K158" s="8" t="s">
        <v>653</v>
      </c>
      <c r="L158" s="8" t="s">
        <v>654</v>
      </c>
      <c r="M158" s="8"/>
    </row>
    <row r="159" spans="1:13" ht="15" customHeight="1" x14ac:dyDescent="0.25">
      <c r="A159" s="45">
        <v>26</v>
      </c>
      <c r="B159" s="45" t="b" cm="1">
        <f t="array" ref="B159">_xlfn.LET(
  _xlpm.ids, VALUE(_xlfn.TEXTSPLIT(A159,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9" s="45" t="s">
        <v>93</v>
      </c>
      <c r="D159" s="15" t="s">
        <v>1180</v>
      </c>
      <c r="E159" s="15" t="s">
        <v>344</v>
      </c>
      <c r="F159" s="15"/>
      <c r="G159" s="8" t="s">
        <v>115</v>
      </c>
      <c r="H159" s="8"/>
      <c r="I159" s="8"/>
      <c r="J159" s="8" t="s">
        <v>611</v>
      </c>
      <c r="K159" s="8" t="s">
        <v>612</v>
      </c>
      <c r="L159" s="8"/>
      <c r="M159" s="8"/>
    </row>
    <row r="160" spans="1:13" ht="15" customHeight="1" x14ac:dyDescent="0.25">
      <c r="A160" s="45">
        <v>4</v>
      </c>
      <c r="B160" s="45" t="b" cm="1">
        <f t="array" ref="B160">_xlfn.LET(
  _xlpm.ids, VALUE(_xlfn.TEXTSPLIT(A160,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60" s="45" t="s">
        <v>93</v>
      </c>
      <c r="D160" s="8" t="s">
        <v>1190</v>
      </c>
      <c r="E160" s="8" t="s">
        <v>757</v>
      </c>
      <c r="F160" s="8"/>
      <c r="G160" s="8" t="s">
        <v>295</v>
      </c>
      <c r="H160" s="8"/>
      <c r="I160" s="8"/>
      <c r="J160" s="4" t="s">
        <v>783</v>
      </c>
      <c r="K160" s="4" t="s">
        <v>247</v>
      </c>
      <c r="L160" s="8"/>
      <c r="M160" s="8"/>
    </row>
    <row r="161" spans="1:13" ht="15" customHeight="1" x14ac:dyDescent="0.25">
      <c r="A161" s="56">
        <v>17</v>
      </c>
      <c r="B161" s="56" t="b" cm="1">
        <f t="array" ref="B161">_xlfn.LET(
  _xlpm.ids, VALUE(_xlfn.TEXTSPLIT(A161,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1" s="56" t="s">
        <v>93</v>
      </c>
      <c r="D161" s="26" t="s">
        <v>203</v>
      </c>
      <c r="E161" s="26"/>
      <c r="F161" s="26"/>
      <c r="G161" s="26" t="s">
        <v>115</v>
      </c>
      <c r="H161" s="26"/>
      <c r="I161" s="26"/>
      <c r="J161" s="9" t="s">
        <v>492</v>
      </c>
      <c r="K161" s="9" t="s">
        <v>188</v>
      </c>
      <c r="L161" s="26"/>
      <c r="M161" s="26" t="s">
        <v>443</v>
      </c>
    </row>
    <row r="162" spans="1:13" ht="15" customHeight="1" x14ac:dyDescent="0.25">
      <c r="A162" s="45">
        <v>3</v>
      </c>
      <c r="B162" s="45" t="b" cm="1">
        <f t="array" ref="B162">_xlfn.LET(
  _xlpm.ids, VALUE(_xlfn.TEXTSPLIT(A162,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2" s="45" t="s">
        <v>93</v>
      </c>
      <c r="D162" s="8" t="s">
        <v>203</v>
      </c>
      <c r="E162" s="8"/>
      <c r="F162" s="8"/>
      <c r="G162" s="8"/>
      <c r="H162" s="8"/>
      <c r="I162" s="8"/>
      <c r="J162" s="4" t="s">
        <v>137</v>
      </c>
      <c r="K162" s="4" t="s">
        <v>122</v>
      </c>
      <c r="L162" s="8"/>
      <c r="M162" s="8"/>
    </row>
    <row r="163" spans="1:13" ht="15" customHeight="1" x14ac:dyDescent="0.25">
      <c r="A163" s="55">
        <v>10</v>
      </c>
      <c r="B163" s="55" t="b" cm="1">
        <f t="array" ref="B163">_xlfn.LET(
  _xlpm.ids, VALUE(_xlfn.TEXTSPLIT(A163,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63" s="55" t="s">
        <v>93</v>
      </c>
      <c r="D163" s="8" t="s">
        <v>203</v>
      </c>
      <c r="E163" s="15" t="s">
        <v>1051</v>
      </c>
      <c r="F163" s="15"/>
      <c r="G163" s="15" t="s">
        <v>175</v>
      </c>
      <c r="H163" s="15"/>
      <c r="I163" s="15"/>
      <c r="J163" s="15" t="s">
        <v>542</v>
      </c>
      <c r="K163" s="15" t="s">
        <v>148</v>
      </c>
      <c r="L163" s="15"/>
      <c r="M163" s="15"/>
    </row>
    <row r="164" spans="1:13" ht="15" customHeight="1" x14ac:dyDescent="0.25">
      <c r="A164" s="55">
        <v>10</v>
      </c>
      <c r="B164" s="55" t="b" cm="1">
        <f t="array" ref="B164">_xlfn.LET(
  _xlpm.ids, VALUE(_xlfn.TEXTSPLIT(A164,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64" s="55" t="s">
        <v>93</v>
      </c>
      <c r="D164" s="8" t="s">
        <v>203</v>
      </c>
      <c r="E164" s="15" t="s">
        <v>546</v>
      </c>
      <c r="F164" s="15"/>
      <c r="G164" s="15" t="s">
        <v>275</v>
      </c>
      <c r="H164" s="15"/>
      <c r="I164" s="15"/>
      <c r="J164" s="15" t="s">
        <v>581</v>
      </c>
      <c r="K164" s="15" t="s">
        <v>148</v>
      </c>
      <c r="L164" s="15"/>
      <c r="M164" s="15"/>
    </row>
    <row r="165" spans="1:13" ht="15" customHeight="1" x14ac:dyDescent="0.25">
      <c r="A165" s="55">
        <v>16</v>
      </c>
      <c r="B165" s="55" t="b" cm="1">
        <f t="array" ref="B165">_xlfn.LET(
  _xlpm.ids, VALUE(_xlfn.TEXTSPLIT(A165,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5" s="55" t="s">
        <v>93</v>
      </c>
      <c r="D165" s="15" t="s">
        <v>519</v>
      </c>
      <c r="E165" s="15" t="s">
        <v>757</v>
      </c>
      <c r="F165" s="15"/>
      <c r="G165" s="10" t="s">
        <v>175</v>
      </c>
      <c r="H165" s="10"/>
      <c r="I165" s="10"/>
      <c r="J165" s="15" t="s">
        <v>789</v>
      </c>
      <c r="K165" s="15" t="s">
        <v>244</v>
      </c>
      <c r="L165" s="15"/>
      <c r="M165" s="15"/>
    </row>
    <row r="166" spans="1:13" ht="15" customHeight="1" x14ac:dyDescent="0.25">
      <c r="A166" s="44">
        <v>18</v>
      </c>
      <c r="B166" s="44" t="b" cm="1">
        <f t="array" ref="B166">_xlfn.LET(
  _xlpm.ids, VALUE(_xlfn.TEXTSPLIT(A166,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6" s="44" t="s">
        <v>93</v>
      </c>
      <c r="D166" s="10" t="s">
        <v>1180</v>
      </c>
      <c r="E166" s="10" t="s">
        <v>757</v>
      </c>
      <c r="F166" s="10"/>
      <c r="G166" s="10" t="s">
        <v>115</v>
      </c>
      <c r="H166" s="10"/>
      <c r="I166" s="10"/>
      <c r="J166" s="4" t="s">
        <v>787</v>
      </c>
      <c r="K166" s="4" t="s">
        <v>292</v>
      </c>
      <c r="L166" s="10"/>
      <c r="M166" s="10"/>
    </row>
    <row r="167" spans="1:13" ht="15" customHeight="1" x14ac:dyDescent="0.25">
      <c r="A167" s="44">
        <v>13</v>
      </c>
      <c r="B167" s="44" t="b" cm="1">
        <f t="array" ref="B167">_xlfn.LET(
  _xlpm.ids, VALUE(_xlfn.TEXTSPLIT(A167,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7" s="44" t="s">
        <v>93</v>
      </c>
      <c r="D167" s="10" t="s">
        <v>1183</v>
      </c>
      <c r="E167" s="8" t="s">
        <v>757</v>
      </c>
      <c r="F167" s="8"/>
      <c r="G167" s="10" t="s">
        <v>115</v>
      </c>
      <c r="H167" s="10"/>
      <c r="I167" s="10"/>
      <c r="J167" s="4" t="s">
        <v>790</v>
      </c>
      <c r="K167" s="4" t="s">
        <v>151</v>
      </c>
      <c r="L167" s="10"/>
      <c r="M167" s="10"/>
    </row>
    <row r="168" spans="1:13" ht="15" customHeight="1" x14ac:dyDescent="0.25">
      <c r="A168" s="55">
        <v>12</v>
      </c>
      <c r="B168" s="55" t="b" cm="1">
        <f t="array" ref="B168">_xlfn.LET(
  _xlpm.ids, VALUE(_xlfn.TEXTSPLIT(A168,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8" s="55" t="s">
        <v>93</v>
      </c>
      <c r="D168" s="8" t="s">
        <v>203</v>
      </c>
      <c r="E168" s="15" t="s">
        <v>1184</v>
      </c>
      <c r="F168" s="15"/>
      <c r="G168" s="15" t="s">
        <v>503</v>
      </c>
      <c r="H168" s="15"/>
      <c r="I168" s="15"/>
      <c r="J168" s="15" t="s">
        <v>869</v>
      </c>
      <c r="K168" s="15" t="s">
        <v>202</v>
      </c>
      <c r="L168" s="15"/>
      <c r="M168" s="15"/>
    </row>
    <row r="169" spans="1:13" ht="15" customHeight="1" x14ac:dyDescent="0.25">
      <c r="A169" s="45">
        <v>2</v>
      </c>
      <c r="B169" s="45" t="b" cm="1">
        <f t="array" ref="B169">_xlfn.LET(
  _xlpm.ids, VALUE(_xlfn.TEXTSPLIT(A169,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69" s="45" t="s">
        <v>93</v>
      </c>
      <c r="D169" s="8" t="s">
        <v>203</v>
      </c>
      <c r="E169" s="4"/>
      <c r="F169" s="4"/>
      <c r="G169" s="4" t="s">
        <v>882</v>
      </c>
      <c r="H169" s="4"/>
      <c r="I169" s="4"/>
      <c r="J169" s="4" t="s">
        <v>784</v>
      </c>
      <c r="K169" s="4" t="s">
        <v>265</v>
      </c>
      <c r="L169" s="8"/>
      <c r="M169" s="8"/>
    </row>
    <row r="170" spans="1:13" ht="15" customHeight="1" x14ac:dyDescent="0.25">
      <c r="A170" s="44">
        <v>15</v>
      </c>
      <c r="B170" s="44" t="b" cm="1">
        <f t="array" ref="B170">_xlfn.LET(
  _xlpm.ids, VALUE(_xlfn.TEXTSPLIT(A170,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70" s="44" t="s">
        <v>93</v>
      </c>
      <c r="D170" s="10" t="s">
        <v>718</v>
      </c>
      <c r="E170" s="10" t="s">
        <v>718</v>
      </c>
      <c r="F170" s="10"/>
      <c r="G170" s="10" t="s">
        <v>110</v>
      </c>
      <c r="H170" s="10"/>
      <c r="I170" s="10"/>
      <c r="J170" s="4" t="s">
        <v>914</v>
      </c>
      <c r="K170" s="4" t="s">
        <v>153</v>
      </c>
      <c r="L170" s="10"/>
      <c r="M170" s="10" t="s">
        <v>915</v>
      </c>
    </row>
  </sheetData>
  <autoFilter ref="A1:M170" xr:uid="{94157DA4-6040-0C41-95F4-16E098CF97B0}">
    <sortState xmlns:xlrd2="http://schemas.microsoft.com/office/spreadsheetml/2017/richdata2" ref="A2:M195">
      <sortCondition ref="J1:J195"/>
    </sortState>
  </autoFilter>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A040-3972-C84F-9A7B-31AE6059EB09}">
  <dimension ref="A1:P85"/>
  <sheetViews>
    <sheetView workbookViewId="0">
      <pane ySplit="1" topLeftCell="A2" activePane="bottomLeft" state="frozen"/>
      <selection activeCell="D5" sqref="D5"/>
      <selection pane="bottomLeft" activeCell="D5" sqref="D5"/>
    </sheetView>
  </sheetViews>
  <sheetFormatPr defaultColWidth="11" defaultRowHeight="15" customHeight="1" x14ac:dyDescent="0.25"/>
  <cols>
    <col min="1" max="1" width="9.875" style="48" customWidth="1"/>
    <col min="2" max="3" width="10.125" style="48" customWidth="1"/>
    <col min="4" max="9" width="18.375" style="14" customWidth="1"/>
    <col min="10" max="10" width="52.125" style="14" customWidth="1"/>
    <col min="11" max="16" width="18.375" style="14" customWidth="1"/>
    <col min="17" max="16384" width="11" style="14"/>
  </cols>
  <sheetData>
    <row r="1" spans="1:16" ht="39.75" customHeight="1" x14ac:dyDescent="0.25">
      <c r="A1" s="43" t="s">
        <v>0</v>
      </c>
      <c r="B1" s="43" t="s">
        <v>1160</v>
      </c>
      <c r="C1" s="43" t="s">
        <v>78</v>
      </c>
      <c r="D1" s="1" t="s">
        <v>79</v>
      </c>
      <c r="E1" s="1" t="s">
        <v>80</v>
      </c>
      <c r="F1" s="1" t="s">
        <v>81</v>
      </c>
      <c r="G1" s="1" t="s">
        <v>82</v>
      </c>
      <c r="H1" s="1" t="s">
        <v>1167</v>
      </c>
      <c r="I1" s="1" t="s">
        <v>77</v>
      </c>
      <c r="J1" s="1" t="s">
        <v>84</v>
      </c>
      <c r="K1" s="1" t="s">
        <v>88</v>
      </c>
      <c r="L1" s="1" t="s">
        <v>5</v>
      </c>
      <c r="M1" s="1" t="s">
        <v>1163</v>
      </c>
      <c r="N1" s="1" t="s">
        <v>1161</v>
      </c>
      <c r="O1" s="1" t="s">
        <v>1162</v>
      </c>
      <c r="P1" s="1" t="s">
        <v>86</v>
      </c>
    </row>
    <row r="2" spans="1:16" ht="15" customHeight="1" x14ac:dyDescent="0.25">
      <c r="A2" s="45">
        <v>28</v>
      </c>
      <c r="B2" s="45" t="b" cm="1">
        <f t="array" ref="B2">_xlfn.LET(
  _xlpm.ids, VALUE(_xlfn.TEXTSPLIT(SUBSTITUTE(A2,",",";"),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 s="45" t="s">
        <v>94</v>
      </c>
      <c r="D2" s="16" t="s">
        <v>1207</v>
      </c>
      <c r="E2" s="16" t="s">
        <v>1207</v>
      </c>
      <c r="F2" s="16"/>
      <c r="G2" s="16" t="s">
        <v>115</v>
      </c>
      <c r="H2" s="16"/>
      <c r="I2" s="16"/>
      <c r="J2" s="8" t="s">
        <v>1208</v>
      </c>
      <c r="K2" s="8" t="s">
        <v>496</v>
      </c>
      <c r="L2" s="19"/>
      <c r="M2" s="8"/>
    </row>
    <row r="3" spans="1:16" ht="15" customHeight="1" x14ac:dyDescent="0.25">
      <c r="A3" s="45">
        <v>28</v>
      </c>
      <c r="B3" s="45" t="b" cm="1">
        <f t="array" ref="B3">_xlfn.LET(
  _xlpm.ids, VALUE(_xlfn.TEXTSPLIT(SUBSTITUTE(A3,",",";"),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 s="45" t="s">
        <v>94</v>
      </c>
      <c r="D3" s="16" t="s">
        <v>1207</v>
      </c>
      <c r="E3" s="16" t="s">
        <v>1207</v>
      </c>
      <c r="F3" s="16"/>
      <c r="G3" s="16" t="s">
        <v>115</v>
      </c>
      <c r="H3" s="16"/>
      <c r="I3" s="16"/>
      <c r="J3" s="8" t="s">
        <v>1209</v>
      </c>
      <c r="K3" s="8" t="s">
        <v>496</v>
      </c>
      <c r="L3" s="19"/>
      <c r="M3" s="8"/>
    </row>
    <row r="4" spans="1:16" ht="15" customHeight="1" x14ac:dyDescent="0.25">
      <c r="A4" s="45">
        <v>28</v>
      </c>
      <c r="B4" s="45" t="b" cm="1">
        <f t="array" ref="B4">_xlfn.LET(
  _xlpm.ids, VALUE(_xlfn.TEXTSPLIT(SUBSTITUTE(A4,",",";"),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 s="45" t="s">
        <v>94</v>
      </c>
      <c r="D4" s="16" t="s">
        <v>1207</v>
      </c>
      <c r="E4" s="16" t="s">
        <v>1207</v>
      </c>
      <c r="F4" s="16"/>
      <c r="G4" s="16" t="s">
        <v>115</v>
      </c>
      <c r="H4" s="16"/>
      <c r="I4" s="16"/>
      <c r="J4" s="8" t="s">
        <v>1210</v>
      </c>
      <c r="K4" s="8" t="s">
        <v>496</v>
      </c>
      <c r="L4" s="19"/>
      <c r="M4" s="8"/>
    </row>
    <row r="5" spans="1:16" ht="15" customHeight="1" x14ac:dyDescent="0.25">
      <c r="A5" s="45">
        <v>28</v>
      </c>
      <c r="B5" s="45" t="b" cm="1">
        <f t="array" ref="B5">_xlfn.LET(
  _xlpm.ids, VALUE(_xlfn.TEXTSPLIT(SUBSTITUTE(A5,",",";"),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 s="45" t="s">
        <v>94</v>
      </c>
      <c r="D5" s="16" t="s">
        <v>1207</v>
      </c>
      <c r="E5" s="16" t="s">
        <v>1207</v>
      </c>
      <c r="F5" s="16"/>
      <c r="G5" s="16" t="s">
        <v>115</v>
      </c>
      <c r="H5" s="16"/>
      <c r="I5" s="16"/>
      <c r="J5" s="8" t="s">
        <v>1211</v>
      </c>
      <c r="K5" s="8" t="s">
        <v>496</v>
      </c>
      <c r="L5" s="19"/>
      <c r="M5" s="8"/>
    </row>
    <row r="6" spans="1:16" ht="15" customHeight="1" x14ac:dyDescent="0.25">
      <c r="A6" s="45">
        <v>28</v>
      </c>
      <c r="B6" s="45" t="b" cm="1">
        <f t="array" ref="B6">_xlfn.LET(
  _xlpm.ids, VALUE(_xlfn.TEXTSPLIT(SUBSTITUTE(A6,",",";"),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 s="45" t="s">
        <v>94</v>
      </c>
      <c r="D6" s="16" t="s">
        <v>1207</v>
      </c>
      <c r="E6" s="16" t="s">
        <v>1207</v>
      </c>
      <c r="F6" s="16"/>
      <c r="G6" s="16" t="s">
        <v>115</v>
      </c>
      <c r="H6" s="16"/>
      <c r="I6" s="16"/>
      <c r="J6" s="8" t="s">
        <v>1212</v>
      </c>
      <c r="K6" s="34" t="s">
        <v>496</v>
      </c>
      <c r="L6" s="19"/>
      <c r="M6" s="8"/>
    </row>
    <row r="7" spans="1:16" ht="15" customHeight="1" x14ac:dyDescent="0.25">
      <c r="A7" s="45">
        <v>4</v>
      </c>
      <c r="B7" s="45" t="b" cm="1">
        <f t="array" ref="B7">_xlfn.LET(
  _xlpm.ids, VALUE(_xlfn.TEXTSPLIT(SUBSTITUTE(A7,",",";"),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 s="45" t="s">
        <v>94</v>
      </c>
      <c r="D7" s="8" t="s">
        <v>1190</v>
      </c>
      <c r="E7" s="8" t="s">
        <v>757</v>
      </c>
      <c r="F7" s="8"/>
      <c r="G7" s="8" t="s">
        <v>115</v>
      </c>
      <c r="H7" s="8"/>
      <c r="I7" s="8"/>
      <c r="J7" s="4" t="s">
        <v>758</v>
      </c>
      <c r="K7" s="4" t="s">
        <v>247</v>
      </c>
      <c r="L7" s="8"/>
      <c r="M7" s="8"/>
    </row>
    <row r="8" spans="1:16" ht="15" customHeight="1" x14ac:dyDescent="0.25">
      <c r="A8" s="45" t="s">
        <v>1213</v>
      </c>
      <c r="B8" s="45" t="str" cm="1">
        <f t="array" ref="B8">_xlfn.LET(
  _xlpm.ids, VALUE(_xlfn.TEXTSPLIT(SUBSTITUTE(A8,",",";"),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8" s="45" t="s">
        <v>94</v>
      </c>
      <c r="D8" s="8"/>
      <c r="E8" s="8" t="s">
        <v>1214</v>
      </c>
      <c r="F8" s="8"/>
      <c r="G8" s="8" t="s">
        <v>110</v>
      </c>
      <c r="H8" s="8"/>
      <c r="I8" s="8"/>
      <c r="J8" s="4" t="s">
        <v>228</v>
      </c>
      <c r="K8" s="4" t="s">
        <v>230</v>
      </c>
      <c r="L8" s="8"/>
      <c r="M8" s="8"/>
    </row>
    <row r="9" spans="1:16" ht="15" customHeight="1" x14ac:dyDescent="0.25">
      <c r="A9" s="46">
        <v>13</v>
      </c>
      <c r="B9" s="46" t="b" cm="1">
        <f t="array" ref="B9">_xlfn.LET(
  _xlpm.ids, VALUE(_xlfn.TEXTSPLIT(SUBSTITUTE(A9,",",";"),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 s="46" t="s">
        <v>94</v>
      </c>
      <c r="D9" s="13" t="s">
        <v>720</v>
      </c>
      <c r="E9" s="13" t="s">
        <v>1214</v>
      </c>
      <c r="F9" s="13"/>
      <c r="G9" s="13" t="s">
        <v>179</v>
      </c>
      <c r="H9" s="13"/>
      <c r="I9" s="13"/>
      <c r="J9" s="7" t="s">
        <v>234</v>
      </c>
      <c r="K9" s="7" t="s">
        <v>151</v>
      </c>
      <c r="L9" s="13"/>
      <c r="M9" s="13" t="s">
        <v>235</v>
      </c>
    </row>
    <row r="10" spans="1:16" ht="15" customHeight="1" x14ac:dyDescent="0.25">
      <c r="A10" s="44">
        <v>13</v>
      </c>
      <c r="B10" s="44" t="b" cm="1">
        <f t="array" ref="B10">_xlfn.LET(
  _xlpm.ids, VALUE(_xlfn.TEXTSPLIT(SUBSTITUTE(A10,",",";"),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 s="44" t="s">
        <v>94</v>
      </c>
      <c r="D10" s="10" t="s">
        <v>720</v>
      </c>
      <c r="E10" s="10" t="s">
        <v>1214</v>
      </c>
      <c r="F10" s="10"/>
      <c r="G10" s="10" t="s">
        <v>231</v>
      </c>
      <c r="H10" s="10"/>
      <c r="I10" s="10"/>
      <c r="J10" s="4" t="s">
        <v>232</v>
      </c>
      <c r="K10" s="4" t="s">
        <v>151</v>
      </c>
      <c r="L10" s="10"/>
      <c r="M10" s="10"/>
    </row>
    <row r="11" spans="1:16" ht="15" customHeight="1" x14ac:dyDescent="0.25">
      <c r="A11" s="44">
        <v>13</v>
      </c>
      <c r="B11" s="44" t="b" cm="1">
        <f t="array" ref="B11">_xlfn.LET(
  _xlpm.ids, VALUE(_xlfn.TEXTSPLIT(SUBSTITUTE(A11,",",";"),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 s="44" t="s">
        <v>94</v>
      </c>
      <c r="D11" s="10"/>
      <c r="E11" s="10" t="s">
        <v>899</v>
      </c>
      <c r="F11" s="10"/>
      <c r="G11" s="10" t="s">
        <v>115</v>
      </c>
      <c r="H11" s="10"/>
      <c r="I11" s="10"/>
      <c r="J11" s="4" t="s">
        <v>900</v>
      </c>
      <c r="K11" s="4" t="s">
        <v>151</v>
      </c>
      <c r="L11" s="10"/>
      <c r="M11" s="10"/>
    </row>
    <row r="12" spans="1:16" ht="15" customHeight="1" x14ac:dyDescent="0.25">
      <c r="A12" s="44">
        <v>13</v>
      </c>
      <c r="B12" s="44" t="b" cm="1">
        <f t="array" ref="B12">_xlfn.LET(
  _xlpm.ids, VALUE(_xlfn.TEXTSPLIT(SUBSTITUTE(A12,",",";"),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 s="44" t="s">
        <v>94</v>
      </c>
      <c r="D12" s="10"/>
      <c r="E12" s="10" t="s">
        <v>899</v>
      </c>
      <c r="F12" s="10"/>
      <c r="G12" s="10" t="s">
        <v>115</v>
      </c>
      <c r="H12" s="10"/>
      <c r="I12" s="10"/>
      <c r="J12" s="4" t="s">
        <v>901</v>
      </c>
      <c r="K12" s="4" t="s">
        <v>151</v>
      </c>
      <c r="L12" s="10"/>
      <c r="M12" s="10"/>
    </row>
    <row r="13" spans="1:16" ht="15" customHeight="1" x14ac:dyDescent="0.25">
      <c r="A13" s="44">
        <v>13</v>
      </c>
      <c r="B13" s="44" t="b" cm="1">
        <f t="array" ref="B13">_xlfn.LET(
  _xlpm.ids, VALUE(_xlfn.TEXTSPLIT(SUBSTITUTE(A13,",",";"),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 s="44" t="s">
        <v>94</v>
      </c>
      <c r="D13" s="10"/>
      <c r="E13" s="10" t="s">
        <v>899</v>
      </c>
      <c r="F13" s="10"/>
      <c r="G13" s="10" t="s">
        <v>115</v>
      </c>
      <c r="H13" s="10"/>
      <c r="I13" s="10"/>
      <c r="J13" s="4" t="s">
        <v>902</v>
      </c>
      <c r="K13" s="4" t="s">
        <v>151</v>
      </c>
      <c r="L13" s="10"/>
      <c r="M13" s="10"/>
    </row>
    <row r="14" spans="1:16" ht="15" customHeight="1" x14ac:dyDescent="0.25">
      <c r="A14" s="44">
        <v>13</v>
      </c>
      <c r="B14" s="44" t="b" cm="1">
        <f t="array" ref="B14">_xlfn.LET(
  _xlpm.ids, VALUE(_xlfn.TEXTSPLIT(SUBSTITUTE(A14,",",";"),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 s="44" t="s">
        <v>94</v>
      </c>
      <c r="D14" s="10" t="s">
        <v>720</v>
      </c>
      <c r="E14" s="10" t="s">
        <v>444</v>
      </c>
      <c r="F14" s="10"/>
      <c r="G14" s="10" t="s">
        <v>115</v>
      </c>
      <c r="H14" s="10"/>
      <c r="I14" s="10"/>
      <c r="J14" s="4" t="s">
        <v>445</v>
      </c>
      <c r="K14" s="4" t="s">
        <v>151</v>
      </c>
      <c r="L14" s="10"/>
      <c r="M14" s="10"/>
    </row>
    <row r="15" spans="1:16" ht="15" customHeight="1" x14ac:dyDescent="0.25">
      <c r="A15" s="44">
        <v>13</v>
      </c>
      <c r="B15" s="44" t="b" cm="1">
        <f t="array" ref="B15">_xlfn.LET(
  _xlpm.ids, VALUE(_xlfn.TEXTSPLIT(SUBSTITUTE(A15,",",";"),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 s="44" t="s">
        <v>94</v>
      </c>
      <c r="D15" s="10" t="s">
        <v>720</v>
      </c>
      <c r="E15" s="10" t="s">
        <v>444</v>
      </c>
      <c r="F15" s="10"/>
      <c r="G15" s="10" t="s">
        <v>115</v>
      </c>
      <c r="H15" s="10"/>
      <c r="I15" s="10"/>
      <c r="J15" s="4" t="s">
        <v>924</v>
      </c>
      <c r="K15" s="4" t="s">
        <v>151</v>
      </c>
      <c r="L15" s="10"/>
      <c r="M15" s="10"/>
    </row>
    <row r="16" spans="1:16" ht="15" customHeight="1" x14ac:dyDescent="0.25">
      <c r="A16" s="44">
        <v>13</v>
      </c>
      <c r="B16" s="44" t="b" cm="1">
        <f t="array" ref="B16">_xlfn.LET(
  _xlpm.ids, VALUE(_xlfn.TEXTSPLIT(SUBSTITUTE(A16,",",";"),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 s="44" t="s">
        <v>94</v>
      </c>
      <c r="D16" s="10" t="s">
        <v>720</v>
      </c>
      <c r="E16" s="10" t="s">
        <v>444</v>
      </c>
      <c r="F16" s="10"/>
      <c r="G16" s="10" t="s">
        <v>115</v>
      </c>
      <c r="H16" s="10"/>
      <c r="I16" s="10"/>
      <c r="J16" s="4" t="s">
        <v>446</v>
      </c>
      <c r="K16" s="4" t="s">
        <v>151</v>
      </c>
      <c r="L16" s="10"/>
      <c r="M16" s="10"/>
    </row>
    <row r="17" spans="1:13" ht="15" customHeight="1" x14ac:dyDescent="0.25">
      <c r="A17" s="45">
        <v>17</v>
      </c>
      <c r="B17" s="45" t="b" cm="1">
        <f t="array" ref="B17">_xlfn.LET(
  _xlpm.ids, VALUE(_xlfn.TEXTSPLIT(SUBSTITUTE(A17,",",";"),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7" s="45" t="s">
        <v>94</v>
      </c>
      <c r="D17" s="8"/>
      <c r="E17" s="8" t="s">
        <v>540</v>
      </c>
      <c r="F17" s="8"/>
      <c r="G17" s="8"/>
      <c r="H17" s="8"/>
      <c r="I17" s="8"/>
      <c r="J17" s="4" t="s">
        <v>543</v>
      </c>
      <c r="K17" s="4" t="s">
        <v>188</v>
      </c>
      <c r="L17" s="8"/>
      <c r="M17" s="8" t="s">
        <v>544</v>
      </c>
    </row>
    <row r="18" spans="1:13" ht="15" customHeight="1" x14ac:dyDescent="0.25">
      <c r="A18" s="45">
        <v>17</v>
      </c>
      <c r="B18" s="45" t="b" cm="1">
        <f t="array" ref="B18">_xlfn.LET(
  _xlpm.ids, VALUE(_xlfn.TEXTSPLIT(SUBSTITUTE(A18,",",";"),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8" s="45" t="s">
        <v>94</v>
      </c>
      <c r="D18" s="8" t="s">
        <v>720</v>
      </c>
      <c r="E18" s="8" t="s">
        <v>710</v>
      </c>
      <c r="F18" s="8"/>
      <c r="G18" s="8" t="s">
        <v>115</v>
      </c>
      <c r="H18" s="8"/>
      <c r="I18" s="8"/>
      <c r="J18" s="4" t="s">
        <v>714</v>
      </c>
      <c r="K18" s="4" t="s">
        <v>188</v>
      </c>
      <c r="L18" s="8"/>
      <c r="M18" s="8"/>
    </row>
    <row r="19" spans="1:13" ht="15" customHeight="1" x14ac:dyDescent="0.25">
      <c r="A19" s="44">
        <v>13</v>
      </c>
      <c r="B19" s="44" t="b" cm="1">
        <f t="array" ref="B19">_xlfn.LET(
  _xlpm.ids, VALUE(_xlfn.TEXTSPLIT(SUBSTITUTE(A19,",",";"),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9" s="44" t="s">
        <v>94</v>
      </c>
      <c r="D19" s="10"/>
      <c r="E19" s="10" t="s">
        <v>906</v>
      </c>
      <c r="F19" s="10"/>
      <c r="G19" s="10" t="s">
        <v>231</v>
      </c>
      <c r="H19" s="10"/>
      <c r="I19" s="10"/>
      <c r="J19" s="4" t="s">
        <v>926</v>
      </c>
      <c r="K19" s="4" t="s">
        <v>151</v>
      </c>
      <c r="L19" s="10"/>
      <c r="M19" s="10"/>
    </row>
    <row r="20" spans="1:13" ht="15" customHeight="1" x14ac:dyDescent="0.25">
      <c r="A20" s="44">
        <v>13</v>
      </c>
      <c r="B20" s="44" t="b" cm="1">
        <f t="array" ref="B20">_xlfn.LET(
  _xlpm.ids, VALUE(_xlfn.TEXTSPLIT(SUBSTITUTE(A20,",",";"),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0" s="44" t="s">
        <v>94</v>
      </c>
      <c r="D20" s="10"/>
      <c r="E20" s="10" t="s">
        <v>906</v>
      </c>
      <c r="F20" s="10"/>
      <c r="G20" s="10" t="s">
        <v>231</v>
      </c>
      <c r="H20" s="10"/>
      <c r="I20" s="10"/>
      <c r="J20" s="4" t="s">
        <v>927</v>
      </c>
      <c r="K20" s="4" t="s">
        <v>151</v>
      </c>
      <c r="L20" s="10"/>
      <c r="M20" s="10" t="s">
        <v>928</v>
      </c>
    </row>
    <row r="21" spans="1:13" ht="15" customHeight="1" x14ac:dyDescent="0.25">
      <c r="A21" s="44">
        <v>13</v>
      </c>
      <c r="B21" s="44" t="b" cm="1">
        <f t="array" ref="B21">_xlfn.LET(
  _xlpm.ids, VALUE(_xlfn.TEXTSPLIT(SUBSTITUTE(A21,",",";"),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1" s="44" t="s">
        <v>94</v>
      </c>
      <c r="D21" s="10"/>
      <c r="E21" s="10" t="s">
        <v>906</v>
      </c>
      <c r="F21" s="10"/>
      <c r="G21" s="10" t="s">
        <v>231</v>
      </c>
      <c r="H21" s="10"/>
      <c r="I21" s="10"/>
      <c r="J21" s="4" t="s">
        <v>929</v>
      </c>
      <c r="K21" s="4" t="s">
        <v>151</v>
      </c>
      <c r="L21" s="10"/>
      <c r="M21" s="10"/>
    </row>
    <row r="22" spans="1:13" ht="15" customHeight="1" x14ac:dyDescent="0.25">
      <c r="A22" s="45">
        <v>3</v>
      </c>
      <c r="B22" s="45" t="b" cm="1">
        <f t="array" ref="B22">_xlfn.LET(
  _xlpm.ids, VALUE(_xlfn.TEXTSPLIT(SUBSTITUTE(A22,",",";"),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2" s="45" t="s">
        <v>94</v>
      </c>
      <c r="D22" s="8" t="s">
        <v>720</v>
      </c>
      <c r="E22" s="8" t="s">
        <v>1215</v>
      </c>
      <c r="F22" s="8"/>
      <c r="G22" s="8" t="s">
        <v>115</v>
      </c>
      <c r="H22" s="8"/>
      <c r="I22" s="8"/>
      <c r="J22" s="4" t="s">
        <v>930</v>
      </c>
      <c r="K22" s="4" t="s">
        <v>122</v>
      </c>
      <c r="L22" s="8"/>
      <c r="M22" s="8" t="s">
        <v>931</v>
      </c>
    </row>
    <row r="23" spans="1:13" ht="15" customHeight="1" x14ac:dyDescent="0.25">
      <c r="A23" s="45">
        <v>31</v>
      </c>
      <c r="B23" s="45" t="b" cm="1">
        <f t="array" ref="B23">_xlfn.LET(
  _xlpm.ids, VALUE(_xlfn.TEXTSPLIT(SUBSTITUTE(A23,",",";"),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3" s="45" t="s">
        <v>94</v>
      </c>
      <c r="D23" s="16"/>
      <c r="E23" s="16" t="s">
        <v>899</v>
      </c>
      <c r="F23" s="16"/>
      <c r="G23" s="16" t="s">
        <v>115</v>
      </c>
      <c r="H23" s="16"/>
      <c r="I23" s="16"/>
      <c r="J23" s="8" t="s">
        <v>1216</v>
      </c>
      <c r="K23" s="8" t="s">
        <v>129</v>
      </c>
      <c r="L23" s="19"/>
      <c r="M23" s="8"/>
    </row>
    <row r="24" spans="1:13" ht="15" customHeight="1" x14ac:dyDescent="0.25">
      <c r="A24" s="45">
        <v>4</v>
      </c>
      <c r="B24" s="45" t="b" cm="1">
        <f t="array" ref="B24">_xlfn.LET(
  _xlpm.ids, VALUE(_xlfn.TEXTSPLIT(SUBSTITUTE(A24,",",";"),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4" s="45" t="s">
        <v>94</v>
      </c>
      <c r="D24" s="8" t="s">
        <v>720</v>
      </c>
      <c r="E24" s="8" t="s">
        <v>710</v>
      </c>
      <c r="F24" s="8"/>
      <c r="G24" s="8" t="s">
        <v>110</v>
      </c>
      <c r="H24" s="8"/>
      <c r="I24" s="8"/>
      <c r="J24" s="4" t="s">
        <v>721</v>
      </c>
      <c r="K24" s="4" t="s">
        <v>247</v>
      </c>
      <c r="L24" s="8"/>
      <c r="M24" s="8"/>
    </row>
    <row r="25" spans="1:13" ht="15" customHeight="1" x14ac:dyDescent="0.25">
      <c r="A25" s="45">
        <v>17</v>
      </c>
      <c r="B25" s="45" t="b" cm="1">
        <f t="array" ref="B25">_xlfn.LET(
  _xlpm.ids, VALUE(_xlfn.TEXTSPLIT(SUBSTITUTE(A25,",",";"),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5" s="45" t="s">
        <v>94</v>
      </c>
      <c r="D25" s="8" t="s">
        <v>720</v>
      </c>
      <c r="E25" s="8" t="s">
        <v>899</v>
      </c>
      <c r="F25" s="8"/>
      <c r="G25" s="8" t="s">
        <v>115</v>
      </c>
      <c r="H25" s="8"/>
      <c r="I25" s="8"/>
      <c r="J25" s="4" t="s">
        <v>893</v>
      </c>
      <c r="K25" s="4" t="s">
        <v>188</v>
      </c>
      <c r="L25" s="8"/>
      <c r="M25" s="8" t="s">
        <v>443</v>
      </c>
    </row>
    <row r="26" spans="1:13" ht="15" customHeight="1" x14ac:dyDescent="0.25">
      <c r="A26" s="45">
        <v>28</v>
      </c>
      <c r="B26" s="45" t="b" cm="1">
        <f t="array" ref="B26">_xlfn.LET(
  _xlpm.ids, VALUE(_xlfn.TEXTSPLIT(SUBSTITUTE(A26,",",";"),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6" s="45" t="s">
        <v>94</v>
      </c>
      <c r="D26" s="8"/>
      <c r="E26" s="8" t="s">
        <v>685</v>
      </c>
      <c r="F26" s="8"/>
      <c r="G26" s="16" t="s">
        <v>115</v>
      </c>
      <c r="H26" s="16"/>
      <c r="I26" s="16"/>
      <c r="J26" s="8" t="s">
        <v>495</v>
      </c>
      <c r="K26" s="8" t="s">
        <v>496</v>
      </c>
      <c r="L26" s="17"/>
      <c r="M26" s="8"/>
    </row>
    <row r="27" spans="1:13" ht="15" customHeight="1" x14ac:dyDescent="0.25">
      <c r="A27" s="55">
        <v>10</v>
      </c>
      <c r="B27" s="55" t="b" cm="1">
        <f t="array" ref="B27">_xlfn.LET(
  _xlpm.ids, VALUE(_xlfn.TEXTSPLIT(SUBSTITUTE(A27,",",";"),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7" s="55" t="s">
        <v>94</v>
      </c>
      <c r="D27" s="15" t="s">
        <v>720</v>
      </c>
      <c r="E27" s="15" t="s">
        <v>710</v>
      </c>
      <c r="F27" s="15"/>
      <c r="G27" s="15" t="s">
        <v>115</v>
      </c>
      <c r="H27" s="15"/>
      <c r="I27" s="15"/>
      <c r="J27" s="15" t="s">
        <v>723</v>
      </c>
      <c r="K27" s="15" t="s">
        <v>148</v>
      </c>
      <c r="L27" s="15"/>
      <c r="M27" s="15"/>
    </row>
    <row r="28" spans="1:13" ht="15" customHeight="1" x14ac:dyDescent="0.25">
      <c r="A28" s="44">
        <v>20</v>
      </c>
      <c r="B28" s="44" t="b" cm="1">
        <f t="array" ref="B28">_xlfn.LET(
  _xlpm.ids, VALUE(_xlfn.TEXTSPLIT(SUBSTITUTE(A28,",",";"),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8" s="44" t="s">
        <v>94</v>
      </c>
      <c r="D28" s="10"/>
      <c r="E28" s="10" t="s">
        <v>906</v>
      </c>
      <c r="F28" s="10"/>
      <c r="G28" s="10" t="s">
        <v>290</v>
      </c>
      <c r="H28" s="10"/>
      <c r="I28" s="10"/>
      <c r="J28" s="4" t="s">
        <v>909</v>
      </c>
      <c r="K28" s="4" t="s">
        <v>355</v>
      </c>
      <c r="L28" s="10"/>
      <c r="M28" s="10"/>
    </row>
    <row r="29" spans="1:13" ht="15" customHeight="1" x14ac:dyDescent="0.25">
      <c r="A29" s="44">
        <v>20</v>
      </c>
      <c r="B29" s="44" t="b" cm="1">
        <f t="array" ref="B29">_xlfn.LET(
  _xlpm.ids, VALUE(_xlfn.TEXTSPLIT(SUBSTITUTE(A29,",",";"),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9" s="44" t="s">
        <v>94</v>
      </c>
      <c r="D29" s="10"/>
      <c r="E29" s="10" t="s">
        <v>906</v>
      </c>
      <c r="F29" s="10"/>
      <c r="G29" s="10" t="s">
        <v>290</v>
      </c>
      <c r="H29" s="10"/>
      <c r="I29" s="10"/>
      <c r="J29" s="4" t="s">
        <v>910</v>
      </c>
      <c r="K29" s="4" t="s">
        <v>355</v>
      </c>
      <c r="L29" s="10"/>
      <c r="M29" s="10"/>
    </row>
    <row r="30" spans="1:13" ht="15" customHeight="1" x14ac:dyDescent="0.25">
      <c r="A30" s="44" t="s">
        <v>933</v>
      </c>
      <c r="B30" s="44" t="b" cm="1">
        <f t="array" ref="B30">_xlfn.LET(
  _xlpm.ids, VALUE(_xlfn.TEXTSPLIT(SUBSTITUTE(A30,",",";"),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0" s="44" t="s">
        <v>94</v>
      </c>
      <c r="D30" s="10"/>
      <c r="E30" s="10" t="s">
        <v>906</v>
      </c>
      <c r="F30" s="10"/>
      <c r="G30" s="10" t="s">
        <v>110</v>
      </c>
      <c r="H30" s="10"/>
      <c r="I30" s="10"/>
      <c r="J30" s="4" t="s">
        <v>932</v>
      </c>
      <c r="K30" s="4" t="s">
        <v>934</v>
      </c>
      <c r="L30" s="10"/>
      <c r="M30" s="10"/>
    </row>
    <row r="31" spans="1:13" ht="15" customHeight="1" x14ac:dyDescent="0.25">
      <c r="A31" s="47">
        <v>31</v>
      </c>
      <c r="B31" s="47" t="b" cm="1">
        <f t="array" ref="B31">_xlfn.LET(
  _xlpm.ids, VALUE(_xlfn.TEXTSPLIT(SUBSTITUTE(A31,",",";"),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1" s="47" t="s">
        <v>94</v>
      </c>
      <c r="D31" s="24"/>
      <c r="E31" s="24"/>
      <c r="F31" s="24"/>
      <c r="G31" s="24"/>
      <c r="H31" s="24"/>
      <c r="I31" s="24"/>
      <c r="J31" s="21" t="s">
        <v>195</v>
      </c>
      <c r="K31" s="21" t="s">
        <v>129</v>
      </c>
      <c r="L31" s="23"/>
      <c r="M31" s="21" t="s">
        <v>196</v>
      </c>
    </row>
    <row r="32" spans="1:13" ht="15" customHeight="1" x14ac:dyDescent="0.25">
      <c r="A32" s="55">
        <v>16</v>
      </c>
      <c r="B32" s="55" t="b" cm="1">
        <f t="array" ref="B32">_xlfn.LET(
  _xlpm.ids, VALUE(_xlfn.TEXTSPLIT(SUBSTITUTE(A32,",",";"),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2" s="55" t="s">
        <v>94</v>
      </c>
      <c r="D32" s="15" t="s">
        <v>720</v>
      </c>
      <c r="E32" s="15" t="s">
        <v>899</v>
      </c>
      <c r="F32" s="15"/>
      <c r="G32" s="15" t="s">
        <v>110</v>
      </c>
      <c r="H32" s="15"/>
      <c r="I32" s="15"/>
      <c r="J32" s="15" t="s">
        <v>1217</v>
      </c>
      <c r="K32" s="15" t="s">
        <v>244</v>
      </c>
      <c r="L32" s="15"/>
      <c r="M32" s="15"/>
    </row>
    <row r="33" spans="1:13" ht="15" customHeight="1" x14ac:dyDescent="0.25">
      <c r="A33" s="51">
        <v>13</v>
      </c>
      <c r="B33" s="51" t="b" cm="1">
        <f t="array" ref="B33">_xlfn.LET(
  _xlpm.ids, VALUE(_xlfn.TEXTSPLIT(SUBSTITUTE(A33,",",";"),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3" s="51" t="s">
        <v>94</v>
      </c>
      <c r="D33" s="11" t="s">
        <v>720</v>
      </c>
      <c r="E33" s="11"/>
      <c r="F33" s="11"/>
      <c r="G33" s="11" t="s">
        <v>115</v>
      </c>
      <c r="H33" s="11"/>
      <c r="I33" s="11"/>
      <c r="J33" s="3" t="s">
        <v>440</v>
      </c>
      <c r="K33" s="3" t="s">
        <v>151</v>
      </c>
      <c r="L33" s="11" t="s">
        <v>441</v>
      </c>
      <c r="M33" s="11"/>
    </row>
    <row r="34" spans="1:13" ht="15" customHeight="1" x14ac:dyDescent="0.25">
      <c r="A34" s="51">
        <v>17</v>
      </c>
      <c r="B34" s="51" t="b" cm="1">
        <f t="array" ref="B34">_xlfn.LET(
  _xlpm.ids, VALUE(_xlfn.TEXTSPLIT(SUBSTITUTE(A34,",",";"),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4" s="51" t="s">
        <v>94</v>
      </c>
      <c r="D34" s="11" t="s">
        <v>720</v>
      </c>
      <c r="E34" s="11" t="s">
        <v>439</v>
      </c>
      <c r="F34" s="11"/>
      <c r="G34" s="11" t="s">
        <v>115</v>
      </c>
      <c r="H34" s="11"/>
      <c r="I34" s="11"/>
      <c r="J34" s="3" t="s">
        <v>442</v>
      </c>
      <c r="K34" s="3" t="s">
        <v>188</v>
      </c>
      <c r="L34" s="11"/>
      <c r="M34" s="11" t="s">
        <v>443</v>
      </c>
    </row>
    <row r="35" spans="1:13" ht="15" customHeight="1" x14ac:dyDescent="0.25">
      <c r="A35" s="44">
        <v>22</v>
      </c>
      <c r="B35" s="44" t="b" cm="1">
        <f t="array" ref="B35">_xlfn.LET(
  _xlpm.ids, VALUE(_xlfn.TEXTSPLIT(SUBSTITUTE(A35,",",";"),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5" s="44" t="s">
        <v>94</v>
      </c>
      <c r="D35" s="10" t="s">
        <v>720</v>
      </c>
      <c r="E35" s="10" t="s">
        <v>444</v>
      </c>
      <c r="F35" s="10"/>
      <c r="G35" s="10" t="s">
        <v>216</v>
      </c>
      <c r="H35" s="10"/>
      <c r="I35" s="10"/>
      <c r="J35" s="4" t="s">
        <v>444</v>
      </c>
      <c r="K35" s="4" t="s">
        <v>112</v>
      </c>
      <c r="L35" s="10"/>
      <c r="M35" s="10"/>
    </row>
    <row r="36" spans="1:13" ht="15" customHeight="1" x14ac:dyDescent="0.25">
      <c r="A36" s="55">
        <v>10</v>
      </c>
      <c r="B36" s="55" t="b" cm="1">
        <f t="array" ref="B36">_xlfn.LET(
  _xlpm.ids, VALUE(_xlfn.TEXTSPLIT(SUBSTITUTE(A36,",",";"),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6" s="55" t="s">
        <v>94</v>
      </c>
      <c r="D36" s="15"/>
      <c r="E36" s="15" t="s">
        <v>899</v>
      </c>
      <c r="F36" s="15"/>
      <c r="G36" s="15" t="s">
        <v>115</v>
      </c>
      <c r="H36" s="15"/>
      <c r="I36" s="15"/>
      <c r="J36" s="15" t="s">
        <v>558</v>
      </c>
      <c r="K36" s="15" t="s">
        <v>148</v>
      </c>
      <c r="L36" s="15"/>
      <c r="M36" s="15"/>
    </row>
    <row r="37" spans="1:13" ht="15" customHeight="1" x14ac:dyDescent="0.25">
      <c r="A37" s="45">
        <v>31</v>
      </c>
      <c r="B37" s="45" t="b" cm="1">
        <f t="array" ref="B37">_xlfn.LET(
  _xlpm.ids, VALUE(_xlfn.TEXTSPLIT(SUBSTITUTE(A37,",",";"),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7" s="45" t="s">
        <v>94</v>
      </c>
      <c r="D37" s="16"/>
      <c r="E37" s="16" t="s">
        <v>890</v>
      </c>
      <c r="F37" s="16"/>
      <c r="G37" s="16" t="s">
        <v>115</v>
      </c>
      <c r="H37" s="16"/>
      <c r="I37" s="16"/>
      <c r="J37" s="8" t="s">
        <v>895</v>
      </c>
      <c r="K37" s="8" t="s">
        <v>129</v>
      </c>
      <c r="L37" s="19"/>
      <c r="M37" s="8"/>
    </row>
    <row r="38" spans="1:13" ht="15" customHeight="1" x14ac:dyDescent="0.25">
      <c r="A38" s="45">
        <v>31</v>
      </c>
      <c r="B38" s="45" t="b" cm="1">
        <f t="array" ref="B38">_xlfn.LET(
  _xlpm.ids, VALUE(_xlfn.TEXTSPLIT(SUBSTITUTE(A38,",",";"),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8" s="45" t="s">
        <v>94</v>
      </c>
      <c r="D38" s="16" t="s">
        <v>519</v>
      </c>
      <c r="E38" s="16" t="s">
        <v>1218</v>
      </c>
      <c r="F38" s="16"/>
      <c r="G38" s="16" t="s">
        <v>115</v>
      </c>
      <c r="H38" s="16"/>
      <c r="I38" s="16"/>
      <c r="J38" s="8" t="s">
        <v>763</v>
      </c>
      <c r="K38" s="8" t="s">
        <v>129</v>
      </c>
      <c r="L38" s="19"/>
      <c r="M38" s="8"/>
    </row>
    <row r="39" spans="1:13" ht="15" customHeight="1" x14ac:dyDescent="0.25">
      <c r="A39" s="45">
        <v>17</v>
      </c>
      <c r="B39" s="45" t="b" cm="1">
        <f t="array" ref="B39">_xlfn.LET(
  _xlpm.ids, VALUE(_xlfn.TEXTSPLIT(SUBSTITUTE(A39,",",";"),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9" s="45" t="s">
        <v>94</v>
      </c>
      <c r="D39" s="8"/>
      <c r="E39" s="8" t="s">
        <v>899</v>
      </c>
      <c r="F39" s="8"/>
      <c r="G39" s="8" t="s">
        <v>115</v>
      </c>
      <c r="H39" s="8"/>
      <c r="I39" s="8"/>
      <c r="J39" s="4" t="s">
        <v>896</v>
      </c>
      <c r="K39" s="4" t="s">
        <v>188</v>
      </c>
      <c r="L39" s="8"/>
      <c r="M39" s="8"/>
    </row>
    <row r="40" spans="1:13" ht="15" customHeight="1" x14ac:dyDescent="0.25">
      <c r="A40" s="45">
        <v>28</v>
      </c>
      <c r="B40" s="45" t="b" cm="1">
        <f t="array" ref="B40">_xlfn.LET(
  _xlpm.ids, VALUE(_xlfn.TEXTSPLIT(SUBSTITUTE(A40,",",";"),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0" s="45" t="s">
        <v>94</v>
      </c>
      <c r="D40" s="16" t="s">
        <v>519</v>
      </c>
      <c r="E40" s="16" t="s">
        <v>1218</v>
      </c>
      <c r="F40" s="16"/>
      <c r="G40" s="16" t="s">
        <v>115</v>
      </c>
      <c r="H40" s="16"/>
      <c r="I40" s="16"/>
      <c r="J40" s="8" t="s">
        <v>1219</v>
      </c>
      <c r="K40" s="8" t="s">
        <v>496</v>
      </c>
      <c r="L40" s="19"/>
      <c r="M40" s="8"/>
    </row>
    <row r="41" spans="1:13" ht="15" customHeight="1" x14ac:dyDescent="0.25">
      <c r="A41" s="52">
        <v>17</v>
      </c>
      <c r="B41" s="52" t="b" cm="1">
        <f t="array" ref="B41">_xlfn.LET(
  _xlpm.ids, VALUE(_xlfn.TEXTSPLIT(SUBSTITUTE(A41,",",";"),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1" s="52" t="s">
        <v>94</v>
      </c>
      <c r="D41" s="41"/>
      <c r="E41" s="41" t="s">
        <v>710</v>
      </c>
      <c r="F41" s="41"/>
      <c r="G41" s="41" t="s">
        <v>115</v>
      </c>
      <c r="H41" s="41"/>
      <c r="I41" s="41"/>
      <c r="J41" s="5" t="s">
        <v>716</v>
      </c>
      <c r="K41" s="5" t="s">
        <v>188</v>
      </c>
      <c r="L41" s="41"/>
      <c r="M41" s="41"/>
    </row>
    <row r="42" spans="1:13" ht="15" customHeight="1" x14ac:dyDescent="0.25">
      <c r="A42" s="55">
        <v>16</v>
      </c>
      <c r="B42" s="55" t="b" cm="1">
        <f t="array" ref="B42">_xlfn.LET(
  _xlpm.ids, VALUE(_xlfn.TEXTSPLIT(SUBSTITUTE(A42,",",";"),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2" s="55" t="s">
        <v>94</v>
      </c>
      <c r="D42" s="15" t="s">
        <v>720</v>
      </c>
      <c r="E42" s="15" t="s">
        <v>710</v>
      </c>
      <c r="F42" s="15"/>
      <c r="G42" s="15" t="s">
        <v>115</v>
      </c>
      <c r="H42" s="15"/>
      <c r="I42" s="15"/>
      <c r="J42" s="15" t="s">
        <v>712</v>
      </c>
      <c r="K42" s="15" t="s">
        <v>244</v>
      </c>
      <c r="L42" s="15"/>
      <c r="M42" s="15"/>
    </row>
    <row r="43" spans="1:13" ht="15" customHeight="1" x14ac:dyDescent="0.25">
      <c r="A43" s="45">
        <v>17</v>
      </c>
      <c r="B43" s="45" t="b" cm="1">
        <f t="array" ref="B43">_xlfn.LET(
  _xlpm.ids, VALUE(_xlfn.TEXTSPLIT(SUBSTITUTE(A43,",",";"),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3" s="45" t="s">
        <v>94</v>
      </c>
      <c r="D43" s="8" t="s">
        <v>720</v>
      </c>
      <c r="E43" s="8" t="s">
        <v>1214</v>
      </c>
      <c r="F43" s="8"/>
      <c r="G43" s="8" t="s">
        <v>115</v>
      </c>
      <c r="H43" s="8"/>
      <c r="I43" s="8"/>
      <c r="J43" s="4" t="s">
        <v>236</v>
      </c>
      <c r="K43" s="4" t="s">
        <v>188</v>
      </c>
      <c r="L43" s="8"/>
      <c r="M43" s="8"/>
    </row>
    <row r="44" spans="1:13" ht="15" customHeight="1" x14ac:dyDescent="0.25">
      <c r="A44" s="45">
        <v>28</v>
      </c>
      <c r="B44" s="45" t="b" cm="1">
        <f t="array" ref="B44">_xlfn.LET(
  _xlpm.ids, VALUE(_xlfn.TEXTSPLIT(SUBSTITUTE(A44,",",";"),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4" s="45" t="s">
        <v>94</v>
      </c>
      <c r="D44" s="16" t="s">
        <v>519</v>
      </c>
      <c r="E44" s="16" t="s">
        <v>1218</v>
      </c>
      <c r="F44" s="16"/>
      <c r="G44" s="16" t="s">
        <v>115</v>
      </c>
      <c r="H44" s="16"/>
      <c r="I44" s="16"/>
      <c r="J44" s="8" t="s">
        <v>1220</v>
      </c>
      <c r="K44" s="8" t="s">
        <v>496</v>
      </c>
      <c r="L44" s="19"/>
      <c r="M44" s="8"/>
    </row>
    <row r="45" spans="1:13" ht="15" customHeight="1" x14ac:dyDescent="0.25">
      <c r="A45" s="44">
        <v>13</v>
      </c>
      <c r="B45" s="44" t="b" cm="1">
        <f t="array" ref="B45">_xlfn.LET(
  _xlpm.ids, VALUE(_xlfn.TEXTSPLIT(SUBSTITUTE(A45,",",";"),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5" s="44" t="s">
        <v>94</v>
      </c>
      <c r="D45" s="10" t="s">
        <v>720</v>
      </c>
      <c r="E45" s="10" t="s">
        <v>444</v>
      </c>
      <c r="F45" s="10"/>
      <c r="G45" s="10" t="s">
        <v>115</v>
      </c>
      <c r="H45" s="10"/>
      <c r="I45" s="10"/>
      <c r="J45" s="4" t="s">
        <v>448</v>
      </c>
      <c r="K45" s="4" t="s">
        <v>151</v>
      </c>
      <c r="L45" s="10"/>
      <c r="M45" s="10"/>
    </row>
    <row r="46" spans="1:13" ht="15" customHeight="1" x14ac:dyDescent="0.25">
      <c r="A46" s="45">
        <v>28</v>
      </c>
      <c r="B46" s="45" t="b" cm="1">
        <f t="array" ref="B46">_xlfn.LET(
  _xlpm.ids, VALUE(_xlfn.TEXTSPLIT(SUBSTITUTE(A46,",",";"),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6" s="45" t="s">
        <v>94</v>
      </c>
      <c r="D46" s="16" t="s">
        <v>519</v>
      </c>
      <c r="E46" s="16" t="s">
        <v>1218</v>
      </c>
      <c r="F46" s="16"/>
      <c r="G46" s="16" t="s">
        <v>115</v>
      </c>
      <c r="H46" s="16"/>
      <c r="I46" s="16"/>
      <c r="J46" s="8" t="s">
        <v>1221</v>
      </c>
      <c r="K46" s="8" t="s">
        <v>496</v>
      </c>
      <c r="L46" s="19"/>
      <c r="M46" s="8"/>
    </row>
    <row r="47" spans="1:13" ht="15" customHeight="1" x14ac:dyDescent="0.25">
      <c r="A47" s="55" t="s">
        <v>1222</v>
      </c>
      <c r="B47" s="55" t="str" cm="1">
        <f t="array" ref="B47">_xlfn.LET(
  _xlpm.ids, VALUE(_xlfn.TEXTSPLIT(SUBSTITUTE(A47,",",";"),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47" s="55" t="s">
        <v>94</v>
      </c>
      <c r="D47" s="15"/>
      <c r="E47" s="15" t="s">
        <v>540</v>
      </c>
      <c r="F47" s="15"/>
      <c r="G47" s="15" t="s">
        <v>110</v>
      </c>
      <c r="H47" s="15"/>
      <c r="I47" s="15"/>
      <c r="J47" s="15" t="s">
        <v>1223</v>
      </c>
      <c r="K47" s="15" t="s">
        <v>541</v>
      </c>
      <c r="L47" s="15"/>
      <c r="M47" s="15"/>
    </row>
    <row r="48" spans="1:13" ht="15" customHeight="1" x14ac:dyDescent="0.25">
      <c r="A48" s="44">
        <v>6</v>
      </c>
      <c r="B48" s="44" t="b" cm="1">
        <f t="array" ref="B48">_xlfn.LET(
  _xlpm.ids, VALUE(_xlfn.TEXTSPLIT(SUBSTITUTE(A48,",",";"),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8" s="44" t="s">
        <v>94</v>
      </c>
      <c r="D48" s="10"/>
      <c r="E48" s="10" t="s">
        <v>540</v>
      </c>
      <c r="F48" s="10"/>
      <c r="G48" s="10" t="s">
        <v>295</v>
      </c>
      <c r="H48" s="10"/>
      <c r="I48" s="10"/>
      <c r="J48" s="4" t="s">
        <v>549</v>
      </c>
      <c r="K48" s="4" t="s">
        <v>119</v>
      </c>
      <c r="L48" s="10"/>
      <c r="M48" s="10"/>
    </row>
    <row r="49" spans="1:13" ht="15" customHeight="1" x14ac:dyDescent="0.25">
      <c r="A49" s="44">
        <v>13</v>
      </c>
      <c r="B49" s="44" t="b" cm="1">
        <f t="array" ref="B49">_xlfn.LET(
  _xlpm.ids, VALUE(_xlfn.TEXTSPLIT(SUBSTITUTE(A49,",",";"),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9" s="44" t="s">
        <v>94</v>
      </c>
      <c r="D49" s="10" t="s">
        <v>720</v>
      </c>
      <c r="E49" s="10" t="s">
        <v>1214</v>
      </c>
      <c r="F49" s="10"/>
      <c r="G49" s="8" t="s">
        <v>115</v>
      </c>
      <c r="H49" s="8"/>
      <c r="I49" s="8"/>
      <c r="J49" s="4" t="s">
        <v>237</v>
      </c>
      <c r="K49" s="4" t="s">
        <v>151</v>
      </c>
      <c r="L49" s="10"/>
      <c r="M49" s="10"/>
    </row>
    <row r="50" spans="1:13" ht="15" customHeight="1" x14ac:dyDescent="0.25">
      <c r="A50" s="44">
        <v>13</v>
      </c>
      <c r="B50" s="44" t="b" cm="1">
        <f t="array" ref="B50">_xlfn.LET(
  _xlpm.ids, VALUE(_xlfn.TEXTSPLIT(SUBSTITUTE(A50,",",";"),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0" s="44" t="s">
        <v>94</v>
      </c>
      <c r="D50" s="10" t="s">
        <v>720</v>
      </c>
      <c r="E50" s="10" t="s">
        <v>1214</v>
      </c>
      <c r="F50" s="10"/>
      <c r="G50" s="8" t="s">
        <v>115</v>
      </c>
      <c r="H50" s="8"/>
      <c r="I50" s="8"/>
      <c r="J50" s="4" t="s">
        <v>238</v>
      </c>
      <c r="K50" s="4" t="s">
        <v>151</v>
      </c>
      <c r="L50" s="10"/>
      <c r="M50" s="10"/>
    </row>
    <row r="51" spans="1:13" ht="15" customHeight="1" x14ac:dyDescent="0.25">
      <c r="A51" s="45" t="s">
        <v>208</v>
      </c>
      <c r="B51" s="45" t="b" cm="1">
        <f t="array" ref="B51">_xlfn.LET(
  _xlpm.ids, VALUE(_xlfn.TEXTSPLIT(SUBSTITUTE(A51,",",";"),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1" s="45" t="s">
        <v>94</v>
      </c>
      <c r="D51" s="8" t="s">
        <v>720</v>
      </c>
      <c r="E51" s="8" t="s">
        <v>1214</v>
      </c>
      <c r="F51" s="8"/>
      <c r="G51" s="8" t="s">
        <v>115</v>
      </c>
      <c r="H51" s="8"/>
      <c r="I51" s="8"/>
      <c r="J51" s="4" t="s">
        <v>239</v>
      </c>
      <c r="K51" s="4" t="s">
        <v>209</v>
      </c>
      <c r="L51" s="8"/>
      <c r="M51" s="8"/>
    </row>
    <row r="52" spans="1:13" ht="15" customHeight="1" x14ac:dyDescent="0.25">
      <c r="A52" s="45">
        <v>23</v>
      </c>
      <c r="B52" s="45" t="b" cm="1">
        <f t="array" ref="B52">_xlfn.LET(
  _xlpm.ids, VALUE(_xlfn.TEXTSPLIT(SUBSTITUTE(A52,",",";"),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2" s="45" t="s">
        <v>94</v>
      </c>
      <c r="D52" s="8"/>
      <c r="E52" s="8" t="s">
        <v>906</v>
      </c>
      <c r="F52" s="8"/>
      <c r="G52" s="8" t="s">
        <v>216</v>
      </c>
      <c r="H52" s="8"/>
      <c r="I52" s="8"/>
      <c r="J52" s="8" t="s">
        <v>911</v>
      </c>
      <c r="K52" s="8" t="s">
        <v>515</v>
      </c>
      <c r="L52" s="8"/>
      <c r="M52" s="8"/>
    </row>
    <row r="53" spans="1:13" ht="15" customHeight="1" x14ac:dyDescent="0.25">
      <c r="A53" s="45">
        <v>31</v>
      </c>
      <c r="B53" s="45" t="b" cm="1">
        <f t="array" ref="B53">_xlfn.LET(
  _xlpm.ids, VALUE(_xlfn.TEXTSPLIT(SUBSTITUTE(A53,",",";"),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3" s="45" t="s">
        <v>94</v>
      </c>
      <c r="D53" s="16" t="s">
        <v>519</v>
      </c>
      <c r="E53" s="16" t="s">
        <v>1218</v>
      </c>
      <c r="F53" s="16"/>
      <c r="G53" s="16" t="s">
        <v>115</v>
      </c>
      <c r="H53" s="16"/>
      <c r="I53" s="16"/>
      <c r="J53" s="8" t="s">
        <v>764</v>
      </c>
      <c r="K53" s="8" t="s">
        <v>129</v>
      </c>
      <c r="L53" s="19"/>
      <c r="M53" s="8"/>
    </row>
    <row r="54" spans="1:13" ht="15" customHeight="1" x14ac:dyDescent="0.25">
      <c r="A54" s="47">
        <v>31</v>
      </c>
      <c r="B54" s="47" t="b" cm="1">
        <f t="array" ref="B54">_xlfn.LET(
  _xlpm.ids, VALUE(_xlfn.TEXTSPLIT(SUBSTITUTE(A54,",",";"),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4" s="47" t="s">
        <v>94</v>
      </c>
      <c r="D54" s="24"/>
      <c r="E54" s="24"/>
      <c r="F54" s="24"/>
      <c r="G54" s="24"/>
      <c r="H54" s="24"/>
      <c r="I54" s="24"/>
      <c r="J54" s="21" t="s">
        <v>197</v>
      </c>
      <c r="K54" s="21" t="s">
        <v>129</v>
      </c>
      <c r="L54" s="23"/>
      <c r="M54" s="21"/>
    </row>
    <row r="55" spans="1:13" ht="15" customHeight="1" x14ac:dyDescent="0.25">
      <c r="A55" s="45" t="s">
        <v>241</v>
      </c>
      <c r="B55" s="45" t="b" cm="1">
        <f t="array" ref="B55">_xlfn.LET(
  _xlpm.ids, VALUE(_xlfn.TEXTSPLIT(SUBSTITUTE(A55,",",";"),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5" s="45" t="s">
        <v>94</v>
      </c>
      <c r="D55" s="8"/>
      <c r="E55" s="16" t="s">
        <v>890</v>
      </c>
      <c r="F55" s="16"/>
      <c r="G55" s="16" t="s">
        <v>115</v>
      </c>
      <c r="H55" s="16"/>
      <c r="I55" s="16"/>
      <c r="J55" s="4" t="s">
        <v>903</v>
      </c>
      <c r="K55" s="8" t="s">
        <v>242</v>
      </c>
      <c r="L55" s="19"/>
      <c r="M55" s="8"/>
    </row>
    <row r="56" spans="1:13" ht="15" customHeight="1" x14ac:dyDescent="0.25">
      <c r="A56" s="45" t="s">
        <v>241</v>
      </c>
      <c r="B56" s="45" t="b" cm="1">
        <f t="array" ref="B56">_xlfn.LET(
  _xlpm.ids, VALUE(_xlfn.TEXTSPLIT(SUBSTITUTE(A56,",",";"),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6" s="45" t="s">
        <v>94</v>
      </c>
      <c r="D56" s="8" t="s">
        <v>720</v>
      </c>
      <c r="E56" s="8" t="s">
        <v>1214</v>
      </c>
      <c r="F56" s="8"/>
      <c r="G56" s="8" t="s">
        <v>115</v>
      </c>
      <c r="H56" s="8"/>
      <c r="I56" s="8"/>
      <c r="J56" s="4" t="s">
        <v>240</v>
      </c>
      <c r="K56" s="8" t="s">
        <v>242</v>
      </c>
      <c r="L56" s="8"/>
      <c r="M56" s="8"/>
    </row>
    <row r="57" spans="1:13" ht="15" customHeight="1" x14ac:dyDescent="0.25">
      <c r="A57" s="45" t="s">
        <v>241</v>
      </c>
      <c r="B57" s="45" t="b" cm="1">
        <f t="array" ref="B57">_xlfn.LET(
  _xlpm.ids, VALUE(_xlfn.TEXTSPLIT(SUBSTITUTE(A57,",",";"),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7" s="45" t="s">
        <v>94</v>
      </c>
      <c r="D57" s="35"/>
      <c r="E57" s="35" t="s">
        <v>1224</v>
      </c>
      <c r="F57" s="35"/>
      <c r="G57" s="35" t="s">
        <v>115</v>
      </c>
      <c r="H57" s="35"/>
      <c r="I57" s="35"/>
      <c r="J57" s="4" t="s">
        <v>920</v>
      </c>
      <c r="K57" s="8" t="s">
        <v>242</v>
      </c>
      <c r="L57" s="37"/>
      <c r="M57" s="36"/>
    </row>
    <row r="58" spans="1:13" ht="15" customHeight="1" x14ac:dyDescent="0.25">
      <c r="A58" s="44">
        <v>13</v>
      </c>
      <c r="B58" s="44" t="b" cm="1">
        <f t="array" ref="B58">_xlfn.LET(
  _xlpm.ids, VALUE(_xlfn.TEXTSPLIT(SUBSTITUTE(A58,",",";"),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8" s="44" t="s">
        <v>94</v>
      </c>
      <c r="D58" s="8"/>
      <c r="E58" s="10" t="s">
        <v>899</v>
      </c>
      <c r="F58" s="10"/>
      <c r="G58" s="10" t="s">
        <v>115</v>
      </c>
      <c r="H58" s="10"/>
      <c r="I58" s="10"/>
      <c r="J58" s="4" t="s">
        <v>904</v>
      </c>
      <c r="K58" s="4" t="s">
        <v>151</v>
      </c>
      <c r="L58" s="10"/>
      <c r="M58" s="10"/>
    </row>
    <row r="59" spans="1:13" ht="15" customHeight="1" x14ac:dyDescent="0.25">
      <c r="A59" s="44">
        <v>13</v>
      </c>
      <c r="B59" s="44" t="b" cm="1">
        <f t="array" ref="B59">_xlfn.LET(
  _xlpm.ids, VALUE(_xlfn.TEXTSPLIT(SUBSTITUTE(A59,",",";"),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9" s="44" t="s">
        <v>94</v>
      </c>
      <c r="D59" s="10"/>
      <c r="E59" s="10" t="s">
        <v>899</v>
      </c>
      <c r="F59" s="10"/>
      <c r="G59" s="10" t="s">
        <v>115</v>
      </c>
      <c r="H59" s="10"/>
      <c r="I59" s="10"/>
      <c r="J59" s="4" t="s">
        <v>905</v>
      </c>
      <c r="K59" s="4" t="s">
        <v>151</v>
      </c>
      <c r="L59" s="10"/>
      <c r="M59" s="10"/>
    </row>
    <row r="60" spans="1:13" ht="15" customHeight="1" x14ac:dyDescent="0.25">
      <c r="A60" s="44">
        <v>6</v>
      </c>
      <c r="B60" s="44" t="b" cm="1">
        <f t="array" ref="B60">_xlfn.LET(
  _xlpm.ids, VALUE(_xlfn.TEXTSPLIT(SUBSTITUTE(A60,",",";"),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0" s="44" t="s">
        <v>94</v>
      </c>
      <c r="D60" s="10" t="s">
        <v>94</v>
      </c>
      <c r="E60" s="10" t="s">
        <v>899</v>
      </c>
      <c r="F60" s="10"/>
      <c r="G60" s="10" t="s">
        <v>290</v>
      </c>
      <c r="H60" s="10"/>
      <c r="I60" s="10"/>
      <c r="J60" s="4" t="s">
        <v>894</v>
      </c>
      <c r="K60" s="4" t="s">
        <v>119</v>
      </c>
      <c r="L60" s="10"/>
      <c r="M60" s="10"/>
    </row>
    <row r="61" spans="1:13" ht="15" customHeight="1" x14ac:dyDescent="0.25">
      <c r="A61" s="45">
        <v>2</v>
      </c>
      <c r="B61" s="45" t="b" cm="1">
        <f t="array" ref="B61">_xlfn.LET(
  _xlpm.ids, VALUE(_xlfn.TEXTSPLIT(SUBSTITUTE(A61,",",";"),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1" s="45" t="s">
        <v>94</v>
      </c>
      <c r="D61" s="8"/>
      <c r="E61" s="8" t="s">
        <v>906</v>
      </c>
      <c r="F61" s="8"/>
      <c r="G61" s="8" t="s">
        <v>110</v>
      </c>
      <c r="H61" s="8"/>
      <c r="I61" s="8"/>
      <c r="J61" s="4" t="s">
        <v>923</v>
      </c>
      <c r="K61" s="4" t="s">
        <v>265</v>
      </c>
      <c r="L61" s="8"/>
      <c r="M61" s="8"/>
    </row>
    <row r="62" spans="1:13" ht="15" customHeight="1" x14ac:dyDescent="0.25">
      <c r="A62" s="44">
        <v>13</v>
      </c>
      <c r="B62" s="44" t="b" cm="1">
        <f t="array" ref="B62">_xlfn.LET(
  _xlpm.ids, VALUE(_xlfn.TEXTSPLIT(SUBSTITUTE(A62,",",";"),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2" s="44" t="s">
        <v>94</v>
      </c>
      <c r="D62" s="10" t="s">
        <v>720</v>
      </c>
      <c r="E62" s="10" t="s">
        <v>710</v>
      </c>
      <c r="F62" s="10"/>
      <c r="G62" s="10" t="s">
        <v>115</v>
      </c>
      <c r="H62" s="10"/>
      <c r="I62" s="10"/>
      <c r="J62" s="4" t="s">
        <v>398</v>
      </c>
      <c r="K62" s="4" t="s">
        <v>151</v>
      </c>
      <c r="L62" s="10"/>
      <c r="M62" s="10"/>
    </row>
    <row r="63" spans="1:13" ht="15" customHeight="1" x14ac:dyDescent="0.25">
      <c r="A63" s="45">
        <v>26</v>
      </c>
      <c r="B63" s="45" t="b" cm="1">
        <f t="array" ref="B63">_xlfn.LET(
  _xlpm.ids, VALUE(_xlfn.TEXTSPLIT(SUBSTITUTE(A63,",",";"),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3" s="45" t="s">
        <v>94</v>
      </c>
      <c r="D63" s="8"/>
      <c r="E63" s="8" t="s">
        <v>899</v>
      </c>
      <c r="F63" s="8"/>
      <c r="G63" s="8" t="s">
        <v>115</v>
      </c>
      <c r="H63" s="8"/>
      <c r="I63" s="8"/>
      <c r="J63" s="8" t="s">
        <v>897</v>
      </c>
      <c r="K63" s="8" t="s">
        <v>134</v>
      </c>
      <c r="L63" s="8"/>
      <c r="M63" s="8" t="s">
        <v>169</v>
      </c>
    </row>
    <row r="64" spans="1:13" ht="15" customHeight="1" x14ac:dyDescent="0.25">
      <c r="A64" s="55">
        <v>12</v>
      </c>
      <c r="B64" s="55" t="b" cm="1">
        <f t="array" ref="B64">_xlfn.LET(
  _xlpm.ids, VALUE(_xlfn.TEXTSPLIT(SUBSTITUTE(A64,",",";"),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4" s="55" t="s">
        <v>94</v>
      </c>
      <c r="D64" s="15" t="s">
        <v>720</v>
      </c>
      <c r="E64" s="15" t="s">
        <v>906</v>
      </c>
      <c r="F64" s="15"/>
      <c r="G64" s="15" t="s">
        <v>110</v>
      </c>
      <c r="H64" s="15"/>
      <c r="I64" s="15"/>
      <c r="J64" s="15" t="s">
        <v>925</v>
      </c>
      <c r="K64" s="15" t="s">
        <v>202</v>
      </c>
      <c r="L64" s="15"/>
      <c r="M64" s="15"/>
    </row>
    <row r="65" spans="1:13" ht="15" customHeight="1" x14ac:dyDescent="0.25">
      <c r="A65" s="55">
        <v>12</v>
      </c>
      <c r="B65" s="55" t="b" cm="1">
        <f t="array" ref="B65">_xlfn.LET(
  _xlpm.ids, VALUE(_xlfn.TEXTSPLIT(SUBSTITUTE(A65,",",";"),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5" s="55" t="s">
        <v>94</v>
      </c>
      <c r="D65" s="15" t="s">
        <v>720</v>
      </c>
      <c r="E65" s="15" t="s">
        <v>899</v>
      </c>
      <c r="F65" s="15"/>
      <c r="G65" s="15" t="s">
        <v>115</v>
      </c>
      <c r="H65" s="15"/>
      <c r="I65" s="15"/>
      <c r="J65" s="15" t="s">
        <v>545</v>
      </c>
      <c r="K65" s="15" t="s">
        <v>202</v>
      </c>
      <c r="L65" s="15"/>
      <c r="M65" s="15"/>
    </row>
    <row r="66" spans="1:13" ht="15" customHeight="1" x14ac:dyDescent="0.25">
      <c r="A66" s="44">
        <v>18</v>
      </c>
      <c r="B66" s="44" t="b" cm="1">
        <f t="array" ref="B66">_xlfn.LET(
  _xlpm.ids, VALUE(_xlfn.TEXTSPLIT(SUBSTITUTE(A66,",",";"),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6" s="44" t="s">
        <v>94</v>
      </c>
      <c r="D66" s="10"/>
      <c r="E66" s="10" t="s">
        <v>685</v>
      </c>
      <c r="F66" s="10"/>
      <c r="G66" s="10" t="s">
        <v>115</v>
      </c>
      <c r="H66" s="10"/>
      <c r="I66" s="10"/>
      <c r="J66" s="4" t="s">
        <v>686</v>
      </c>
      <c r="K66" s="4" t="s">
        <v>292</v>
      </c>
      <c r="L66" s="10"/>
      <c r="M66" s="10" t="s">
        <v>476</v>
      </c>
    </row>
    <row r="67" spans="1:13" ht="15" customHeight="1" x14ac:dyDescent="0.25">
      <c r="A67" s="55">
        <v>12</v>
      </c>
      <c r="B67" s="55" t="b" cm="1">
        <f t="array" ref="B67">_xlfn.LET(
  _xlpm.ids, VALUE(_xlfn.TEXTSPLIT(SUBSTITUTE(A67,",",";"),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7" s="55" t="s">
        <v>94</v>
      </c>
      <c r="D67" s="15" t="s">
        <v>720</v>
      </c>
      <c r="E67" s="15" t="s">
        <v>899</v>
      </c>
      <c r="F67" s="15"/>
      <c r="G67" s="15" t="s">
        <v>110</v>
      </c>
      <c r="H67" s="15"/>
      <c r="I67" s="15"/>
      <c r="J67" s="15" t="s">
        <v>898</v>
      </c>
      <c r="K67" s="15" t="s">
        <v>202</v>
      </c>
      <c r="L67" s="15"/>
      <c r="M67" s="15"/>
    </row>
    <row r="68" spans="1:13" ht="15" customHeight="1" x14ac:dyDescent="0.25">
      <c r="A68" s="45">
        <v>28</v>
      </c>
      <c r="B68" s="45" t="b" cm="1">
        <f t="array" ref="B68">_xlfn.LET(
  _xlpm.ids, VALUE(_xlfn.TEXTSPLIT(SUBSTITUTE(A68,",",";"),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8" s="45" t="s">
        <v>94</v>
      </c>
      <c r="D68" s="16" t="s">
        <v>519</v>
      </c>
      <c r="E68" s="16" t="s">
        <v>1218</v>
      </c>
      <c r="F68" s="16"/>
      <c r="G68" s="16" t="s">
        <v>115</v>
      </c>
      <c r="H68" s="16"/>
      <c r="I68" s="16"/>
      <c r="J68" s="8" t="s">
        <v>1225</v>
      </c>
      <c r="K68" s="8" t="s">
        <v>496</v>
      </c>
      <c r="L68" s="19"/>
      <c r="M68" s="8"/>
    </row>
    <row r="69" spans="1:13" ht="15" customHeight="1" x14ac:dyDescent="0.25">
      <c r="A69" s="45">
        <v>28</v>
      </c>
      <c r="B69" s="45" t="b" cm="1">
        <f t="array" ref="B69">_xlfn.LET(
  _xlpm.ids, VALUE(_xlfn.TEXTSPLIT(SUBSTITUTE(A69,",",";"),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9" s="45" t="s">
        <v>94</v>
      </c>
      <c r="D69" s="16" t="s">
        <v>519</v>
      </c>
      <c r="E69" s="16" t="s">
        <v>1218</v>
      </c>
      <c r="F69" s="16"/>
      <c r="G69" s="16" t="s">
        <v>115</v>
      </c>
      <c r="H69" s="16"/>
      <c r="I69" s="16"/>
      <c r="J69" s="8" t="s">
        <v>1226</v>
      </c>
      <c r="K69" s="8" t="s">
        <v>496</v>
      </c>
      <c r="L69" s="19"/>
      <c r="M69" s="8"/>
    </row>
    <row r="70" spans="1:13" ht="15" customHeight="1" x14ac:dyDescent="0.25">
      <c r="A70" s="55">
        <v>16</v>
      </c>
      <c r="B70" s="55" t="b" cm="1">
        <f t="array" ref="B70">_xlfn.LET(
  _xlpm.ids, VALUE(_xlfn.TEXTSPLIT(SUBSTITUTE(A70,",",";"),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0" s="55" t="s">
        <v>94</v>
      </c>
      <c r="D70" s="15" t="s">
        <v>720</v>
      </c>
      <c r="E70" s="15" t="s">
        <v>1214</v>
      </c>
      <c r="F70" s="15"/>
      <c r="G70" s="15" t="s">
        <v>110</v>
      </c>
      <c r="H70" s="15"/>
      <c r="I70" s="15"/>
      <c r="J70" s="15" t="s">
        <v>243</v>
      </c>
      <c r="K70" s="15" t="s">
        <v>244</v>
      </c>
      <c r="L70" s="15"/>
      <c r="M70" s="15"/>
    </row>
    <row r="71" spans="1:13" ht="15" customHeight="1" x14ac:dyDescent="0.25">
      <c r="A71" s="55">
        <v>16</v>
      </c>
      <c r="B71" s="55" t="b" cm="1">
        <f t="array" ref="B71">_xlfn.LET(
  _xlpm.ids, VALUE(_xlfn.TEXTSPLIT(SUBSTITUTE(A71,",",";"),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1" s="55" t="s">
        <v>94</v>
      </c>
      <c r="D71" s="15" t="s">
        <v>720</v>
      </c>
      <c r="E71" s="15" t="s">
        <v>710</v>
      </c>
      <c r="F71" s="15"/>
      <c r="G71" s="15" t="s">
        <v>115</v>
      </c>
      <c r="H71" s="15"/>
      <c r="I71" s="15"/>
      <c r="J71" s="15" t="s">
        <v>710</v>
      </c>
      <c r="K71" s="15" t="s">
        <v>244</v>
      </c>
      <c r="L71" s="15"/>
      <c r="M71" s="15"/>
    </row>
    <row r="72" spans="1:13" ht="15" customHeight="1" x14ac:dyDescent="0.25">
      <c r="A72" s="45">
        <v>17</v>
      </c>
      <c r="B72" s="45" t="b" cm="1">
        <f t="array" ref="B72">_xlfn.LET(
  _xlpm.ids, VALUE(_xlfn.TEXTSPLIT(SUBSTITUTE(A72,",",";"),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2" s="45" t="s">
        <v>94</v>
      </c>
      <c r="D72" s="8" t="s">
        <v>720</v>
      </c>
      <c r="E72" s="8" t="s">
        <v>710</v>
      </c>
      <c r="F72" s="8"/>
      <c r="G72" s="8" t="s">
        <v>115</v>
      </c>
      <c r="H72" s="8"/>
      <c r="I72" s="8"/>
      <c r="J72" s="4" t="s">
        <v>711</v>
      </c>
      <c r="K72" s="4" t="s">
        <v>188</v>
      </c>
      <c r="L72" s="8" t="s">
        <v>1227</v>
      </c>
      <c r="M72" s="8"/>
    </row>
    <row r="73" spans="1:13" ht="15" customHeight="1" x14ac:dyDescent="0.25">
      <c r="A73" s="45">
        <v>17</v>
      </c>
      <c r="B73" s="45" t="b" cm="1">
        <f t="array" ref="B73">_xlfn.LET(
  _xlpm.ids, VALUE(_xlfn.TEXTSPLIT(SUBSTITUTE(A73,",",";"),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3" s="45" t="s">
        <v>94</v>
      </c>
      <c r="D73" s="8" t="s">
        <v>720</v>
      </c>
      <c r="E73" s="8" t="s">
        <v>710</v>
      </c>
      <c r="F73" s="8"/>
      <c r="G73" s="8" t="s">
        <v>115</v>
      </c>
      <c r="H73" s="8"/>
      <c r="I73" s="8"/>
      <c r="J73" s="4" t="s">
        <v>713</v>
      </c>
      <c r="K73" s="4" t="s">
        <v>188</v>
      </c>
      <c r="L73" s="8"/>
      <c r="M73" s="8" t="s">
        <v>544</v>
      </c>
    </row>
    <row r="74" spans="1:13" ht="15" customHeight="1" x14ac:dyDescent="0.25">
      <c r="A74" s="45">
        <v>4</v>
      </c>
      <c r="B74" s="45" t="b" cm="1">
        <f t="array" ref="B74">_xlfn.LET(
  _xlpm.ids, VALUE(_xlfn.TEXTSPLIT(SUBSTITUTE(A74,",",";"),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74" s="45" t="s">
        <v>94</v>
      </c>
      <c r="D74" s="8" t="s">
        <v>720</v>
      </c>
      <c r="E74" s="8" t="s">
        <v>1214</v>
      </c>
      <c r="F74" s="8"/>
      <c r="G74" s="8" t="s">
        <v>115</v>
      </c>
      <c r="H74" s="8"/>
      <c r="I74" s="8"/>
      <c r="J74" s="4" t="s">
        <v>246</v>
      </c>
      <c r="K74" s="4" t="s">
        <v>247</v>
      </c>
      <c r="L74" s="8"/>
      <c r="M74" s="8"/>
    </row>
    <row r="75" spans="1:13" ht="15" customHeight="1" x14ac:dyDescent="0.25">
      <c r="A75" s="45">
        <v>28</v>
      </c>
      <c r="B75" s="45" t="b" cm="1">
        <f t="array" ref="B75">_xlfn.LET(
  _xlpm.ids, VALUE(_xlfn.TEXTSPLIT(SUBSTITUTE(A75,",",";"),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5" s="45" t="s">
        <v>94</v>
      </c>
      <c r="D75" s="8"/>
      <c r="E75" s="8" t="s">
        <v>685</v>
      </c>
      <c r="F75" s="8"/>
      <c r="G75" s="16" t="s">
        <v>115</v>
      </c>
      <c r="H75" s="16"/>
      <c r="I75" s="16"/>
      <c r="J75" s="8" t="s">
        <v>497</v>
      </c>
      <c r="K75" s="8" t="s">
        <v>496</v>
      </c>
      <c r="L75" s="17"/>
      <c r="M75" s="8"/>
    </row>
    <row r="76" spans="1:13" ht="15" customHeight="1" x14ac:dyDescent="0.25">
      <c r="A76" s="44">
        <v>18</v>
      </c>
      <c r="B76" s="44" t="b" cm="1">
        <f t="array" ref="B76">_xlfn.LET(
  _xlpm.ids, VALUE(_xlfn.TEXTSPLIT(SUBSTITUTE(A76,",",";"),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6" s="44" t="s">
        <v>94</v>
      </c>
      <c r="D76" s="10" t="s">
        <v>720</v>
      </c>
      <c r="E76" s="10" t="s">
        <v>710</v>
      </c>
      <c r="F76" s="10"/>
      <c r="G76" s="10" t="s">
        <v>115</v>
      </c>
      <c r="H76" s="10"/>
      <c r="I76" s="10"/>
      <c r="J76" s="4" t="s">
        <v>475</v>
      </c>
      <c r="K76" s="4" t="s">
        <v>292</v>
      </c>
      <c r="L76" s="10"/>
      <c r="M76" s="10" t="s">
        <v>476</v>
      </c>
    </row>
    <row r="77" spans="1:13" ht="15" customHeight="1" x14ac:dyDescent="0.25">
      <c r="A77" s="44">
        <v>13</v>
      </c>
      <c r="B77" s="44" t="b" cm="1">
        <f t="array" ref="B77">_xlfn.LET(
  _xlpm.ids, VALUE(_xlfn.TEXTSPLIT(SUBSTITUTE(A77,",",";"),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7" s="44" t="s">
        <v>94</v>
      </c>
      <c r="D77" s="10"/>
      <c r="E77" s="10" t="s">
        <v>899</v>
      </c>
      <c r="F77" s="10"/>
      <c r="G77" s="10" t="s">
        <v>115</v>
      </c>
      <c r="H77" s="10"/>
      <c r="I77" s="10"/>
      <c r="J77" s="4" t="s">
        <v>760</v>
      </c>
      <c r="K77" s="4" t="s">
        <v>151</v>
      </c>
      <c r="L77" s="10"/>
      <c r="M77" s="10"/>
    </row>
    <row r="78" spans="1:13" ht="15" customHeight="1" x14ac:dyDescent="0.25">
      <c r="A78" s="45">
        <v>28</v>
      </c>
      <c r="B78" s="45" t="b" cm="1">
        <f t="array" ref="B78">_xlfn.LET(
  _xlpm.ids, VALUE(_xlfn.TEXTSPLIT(SUBSTITUTE(A78,",",";"),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8" s="45" t="s">
        <v>94</v>
      </c>
      <c r="D78" s="8" t="s">
        <v>1180</v>
      </c>
      <c r="E78" s="8" t="s">
        <v>757</v>
      </c>
      <c r="F78" s="8"/>
      <c r="G78" s="16" t="s">
        <v>115</v>
      </c>
      <c r="H78" s="16"/>
      <c r="I78" s="16"/>
      <c r="J78" s="8" t="s">
        <v>761</v>
      </c>
      <c r="K78" s="8" t="s">
        <v>496</v>
      </c>
      <c r="L78" s="17"/>
      <c r="M78" s="8"/>
    </row>
    <row r="79" spans="1:13" ht="15" customHeight="1" x14ac:dyDescent="0.25">
      <c r="A79" s="44">
        <v>13</v>
      </c>
      <c r="B79" s="44" t="b" cm="1">
        <f t="array" ref="B79">_xlfn.LET(
  _xlpm.ids, VALUE(_xlfn.TEXTSPLIT(SUBSTITUTE(A79,",",";"),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9" s="44" t="s">
        <v>94</v>
      </c>
      <c r="D79" s="10" t="s">
        <v>720</v>
      </c>
      <c r="E79" s="10" t="s">
        <v>444</v>
      </c>
      <c r="F79" s="10"/>
      <c r="G79" s="10" t="s">
        <v>179</v>
      </c>
      <c r="H79" s="10"/>
      <c r="I79" s="10"/>
      <c r="J79" s="4" t="s">
        <v>449</v>
      </c>
      <c r="K79" s="4" t="s">
        <v>151</v>
      </c>
      <c r="L79" s="10"/>
      <c r="M79" s="10"/>
    </row>
    <row r="80" spans="1:13" ht="15" customHeight="1" x14ac:dyDescent="0.25">
      <c r="A80" s="44">
        <v>22</v>
      </c>
      <c r="B80" s="44" t="b" cm="1">
        <f t="array" ref="B80">_xlfn.LET(
  _xlpm.ids, VALUE(_xlfn.TEXTSPLIT(SUBSTITUTE(A80,",",";"),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0" s="44" t="s">
        <v>94</v>
      </c>
      <c r="D80" s="10"/>
      <c r="E80" s="10" t="s">
        <v>890</v>
      </c>
      <c r="F80" s="10"/>
      <c r="G80" s="10"/>
      <c r="H80" s="10"/>
      <c r="I80" s="10"/>
      <c r="J80" s="4" t="s">
        <v>899</v>
      </c>
      <c r="K80" s="4" t="s">
        <v>112</v>
      </c>
      <c r="L80" s="10"/>
      <c r="M80" s="10"/>
    </row>
    <row r="81" spans="1:13" ht="15" customHeight="1" x14ac:dyDescent="0.25">
      <c r="A81" s="45">
        <v>28</v>
      </c>
      <c r="B81" s="45" t="b" cm="1">
        <f t="array" ref="B81">_xlfn.LET(
  _xlpm.ids, VALUE(_xlfn.TEXTSPLIT(SUBSTITUTE(A81,",",";"),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1" s="45" t="s">
        <v>94</v>
      </c>
      <c r="D81" s="8"/>
      <c r="E81" s="8" t="s">
        <v>906</v>
      </c>
      <c r="F81" s="8"/>
      <c r="G81" s="16" t="s">
        <v>115</v>
      </c>
      <c r="H81" s="16"/>
      <c r="I81" s="16"/>
      <c r="J81" s="8" t="s">
        <v>1228</v>
      </c>
      <c r="K81" s="8" t="s">
        <v>496</v>
      </c>
      <c r="L81" s="17"/>
      <c r="M81" s="8"/>
    </row>
    <row r="82" spans="1:13" ht="15" customHeight="1" x14ac:dyDescent="0.25">
      <c r="A82" s="45">
        <v>31</v>
      </c>
      <c r="B82" s="45" t="b" cm="1">
        <f t="array" ref="B82">_xlfn.LET(
  _xlpm.ids, VALUE(_xlfn.TEXTSPLIT(SUBSTITUTE(A82,",",";"),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2" s="45" t="s">
        <v>94</v>
      </c>
      <c r="D82" s="16"/>
      <c r="E82" s="16" t="s">
        <v>906</v>
      </c>
      <c r="F82" s="16"/>
      <c r="G82" s="16" t="s">
        <v>115</v>
      </c>
      <c r="H82" s="16"/>
      <c r="I82" s="16"/>
      <c r="J82" s="8" t="s">
        <v>921</v>
      </c>
      <c r="K82" s="8" t="s">
        <v>129</v>
      </c>
      <c r="L82" s="19"/>
      <c r="M82" s="8"/>
    </row>
    <row r="83" spans="1:13" ht="15" customHeight="1" x14ac:dyDescent="0.25">
      <c r="A83" s="44">
        <v>22</v>
      </c>
      <c r="B83" s="44" t="b" cm="1">
        <f t="array" ref="B83">_xlfn.LET(
  _xlpm.ids, VALUE(_xlfn.TEXTSPLIT(SUBSTITUTE(A83,",",";"),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3" s="44" t="s">
        <v>94</v>
      </c>
      <c r="D83" s="10"/>
      <c r="E83" s="10" t="s">
        <v>906</v>
      </c>
      <c r="F83" s="10"/>
      <c r="G83" s="10"/>
      <c r="H83" s="10"/>
      <c r="I83" s="10"/>
      <c r="J83" s="4" t="s">
        <v>922</v>
      </c>
      <c r="K83" s="4" t="s">
        <v>112</v>
      </c>
      <c r="L83" s="10"/>
      <c r="M83" s="10"/>
    </row>
    <row r="84" spans="1:13" ht="15" customHeight="1" x14ac:dyDescent="0.25">
      <c r="A84" s="44">
        <v>14</v>
      </c>
      <c r="B84" s="44" t="b" cm="1">
        <f t="array" ref="B84">_xlfn.LET(
  _xlpm.ids, VALUE(_xlfn.TEXTSPLIT(SUBSTITUTE(A84,",",";"),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84" s="44" t="s">
        <v>94</v>
      </c>
      <c r="D84" s="10"/>
      <c r="E84" s="10" t="s">
        <v>906</v>
      </c>
      <c r="F84" s="10"/>
      <c r="G84" s="10" t="s">
        <v>115</v>
      </c>
      <c r="H84" s="10"/>
      <c r="I84" s="10"/>
      <c r="J84" s="4" t="s">
        <v>907</v>
      </c>
      <c r="K84" s="4" t="s">
        <v>140</v>
      </c>
      <c r="L84" s="10"/>
      <c r="M84" s="10"/>
    </row>
    <row r="85" spans="1:13" ht="15" customHeight="1" x14ac:dyDescent="0.25">
      <c r="A85" s="55">
        <v>16</v>
      </c>
      <c r="B85" s="55" t="b" cm="1">
        <f t="array" ref="B85">_xlfn.LET(
  _xlpm.ids, VALUE(_xlfn.TEXTSPLIT(SUBSTITUTE(A85,",",";"),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5" s="55" t="s">
        <v>94</v>
      </c>
      <c r="D85" s="15" t="s">
        <v>94</v>
      </c>
      <c r="E85" s="15" t="s">
        <v>1214</v>
      </c>
      <c r="F85" s="15"/>
      <c r="G85" s="15" t="s">
        <v>115</v>
      </c>
      <c r="H85" s="15"/>
      <c r="I85" s="15"/>
      <c r="J85" s="15" t="s">
        <v>717</v>
      </c>
      <c r="K85" s="15" t="s">
        <v>244</v>
      </c>
      <c r="L85" s="15"/>
      <c r="M85" s="15"/>
    </row>
  </sheetData>
  <autoFilter ref="A1:M85" xr:uid="{42EBA040-3972-C84F-9A7B-31AE6059EB09}">
    <sortState xmlns:xlrd2="http://schemas.microsoft.com/office/spreadsheetml/2017/richdata2" ref="A2:M96">
      <sortCondition ref="J1:J96"/>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7E6B3-ADE9-C844-A963-1D7554EADDE4}">
  <dimension ref="A1:P17"/>
  <sheetViews>
    <sheetView workbookViewId="0">
      <selection activeCell="D5" sqref="D5"/>
    </sheetView>
  </sheetViews>
  <sheetFormatPr defaultColWidth="11" defaultRowHeight="15" customHeight="1" x14ac:dyDescent="0.25"/>
  <cols>
    <col min="1" max="1" width="9.875" style="48" customWidth="1"/>
    <col min="2" max="3" width="10.125" style="48" customWidth="1"/>
    <col min="4" max="9" width="18.375" style="14" customWidth="1"/>
    <col min="10" max="10" width="52.125" style="14" customWidth="1"/>
    <col min="11" max="16" width="18.375" style="14" customWidth="1"/>
    <col min="17" max="16384" width="11" style="14"/>
  </cols>
  <sheetData>
    <row r="1" spans="1:16" ht="39.75" customHeight="1" x14ac:dyDescent="0.25">
      <c r="A1" s="43" t="s">
        <v>0</v>
      </c>
      <c r="B1" s="43" t="s">
        <v>1160</v>
      </c>
      <c r="C1" s="43" t="s">
        <v>78</v>
      </c>
      <c r="D1" s="1" t="s">
        <v>79</v>
      </c>
      <c r="E1" s="1" t="s">
        <v>80</v>
      </c>
      <c r="F1" s="1" t="s">
        <v>81</v>
      </c>
      <c r="G1" s="1" t="s">
        <v>82</v>
      </c>
      <c r="H1" s="1" t="s">
        <v>1167</v>
      </c>
      <c r="I1" s="1" t="s">
        <v>77</v>
      </c>
      <c r="J1" s="1" t="s">
        <v>84</v>
      </c>
      <c r="K1" s="1" t="s">
        <v>88</v>
      </c>
      <c r="L1" s="1" t="s">
        <v>5</v>
      </c>
      <c r="M1" s="1" t="s">
        <v>1163</v>
      </c>
      <c r="N1" s="1" t="s">
        <v>1161</v>
      </c>
      <c r="O1" s="1" t="s">
        <v>1162</v>
      </c>
      <c r="P1" s="1" t="s">
        <v>86</v>
      </c>
    </row>
    <row r="2" spans="1:16" ht="15" customHeight="1" x14ac:dyDescent="0.25">
      <c r="A2" s="45">
        <v>27</v>
      </c>
      <c r="B2" s="45" t="b" cm="1">
        <f t="array" ref="B2">_xlfn.LET(
  _xlpm.ids, VALUE(_xlfn.TEXTSPLIT(SUBSTITUTE(A2,",",";"),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 s="45" t="s">
        <v>95</v>
      </c>
      <c r="E2" s="14" t="s">
        <v>477</v>
      </c>
      <c r="G2" s="14" t="s">
        <v>275</v>
      </c>
      <c r="J2" s="8" t="s">
        <v>855</v>
      </c>
      <c r="K2" s="8"/>
    </row>
    <row r="3" spans="1:16" ht="15" customHeight="1" x14ac:dyDescent="0.25">
      <c r="A3" s="45">
        <v>27</v>
      </c>
      <c r="B3" s="45" t="b" cm="1">
        <f t="array" ref="B3">_xlfn.LET(
  _xlpm.ids, VALUE(_xlfn.TEXTSPLIT(SUBSTITUTE(A3,",",";"),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 s="45" t="s">
        <v>95</v>
      </c>
      <c r="E3" s="14" t="s">
        <v>479</v>
      </c>
      <c r="G3" s="14" t="s">
        <v>803</v>
      </c>
      <c r="J3" s="8" t="s">
        <v>804</v>
      </c>
      <c r="K3" s="8"/>
    </row>
    <row r="4" spans="1:16" ht="15" customHeight="1" x14ac:dyDescent="0.25">
      <c r="A4" s="50">
        <v>7</v>
      </c>
      <c r="B4" s="50" t="b" cm="1">
        <f t="array" ref="B4">_xlfn.LET(
  _xlpm.ids, VALUE(_xlfn.TEXTSPLIT(SUBSTITUTE(A4,",",";"),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 s="50" t="s">
        <v>95</v>
      </c>
      <c r="D4" s="28"/>
      <c r="E4" s="28" t="s">
        <v>1159</v>
      </c>
      <c r="F4" s="28"/>
      <c r="G4" s="28" t="s">
        <v>216</v>
      </c>
      <c r="H4" s="28"/>
      <c r="I4" s="28"/>
      <c r="J4" s="4" t="s">
        <v>217</v>
      </c>
      <c r="K4" s="4" t="s">
        <v>153</v>
      </c>
      <c r="L4" s="28"/>
      <c r="M4" s="28"/>
    </row>
    <row r="5" spans="1:16" ht="15" customHeight="1" x14ac:dyDescent="0.25">
      <c r="A5" s="45">
        <v>23</v>
      </c>
      <c r="B5" s="45" t="b" cm="1">
        <f t="array" ref="B5">_xlfn.LET(
  _xlpm.ids, VALUE(_xlfn.TEXTSPLIT(SUBSTITUTE(A5,",",";"),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 s="45" t="s">
        <v>95</v>
      </c>
      <c r="E5" s="28" t="s">
        <v>1159</v>
      </c>
      <c r="F5" s="28"/>
      <c r="G5" s="14" t="s">
        <v>124</v>
      </c>
      <c r="J5" s="8" t="s">
        <v>212</v>
      </c>
      <c r="K5" s="8" t="s">
        <v>213</v>
      </c>
    </row>
    <row r="6" spans="1:16" ht="15" customHeight="1" x14ac:dyDescent="0.25">
      <c r="A6" s="48" t="s">
        <v>1229</v>
      </c>
      <c r="B6" s="48" t="str" cm="1">
        <f t="array" ref="B6">_xlfn.LET(
  _xlpm.ids, VALUE(_xlfn.TEXTSPLIT(SUBSTITUTE(A6,",",";"),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6" s="48" t="s">
        <v>95</v>
      </c>
      <c r="D6" s="8"/>
      <c r="E6" s="38" t="s">
        <v>477</v>
      </c>
      <c r="F6" s="38"/>
      <c r="G6" s="8" t="s">
        <v>110</v>
      </c>
      <c r="H6" s="8"/>
      <c r="I6" s="8"/>
      <c r="J6" s="4" t="s">
        <v>854</v>
      </c>
      <c r="K6" s="4" t="s">
        <v>265</v>
      </c>
      <c r="M6" s="14" t="s">
        <v>1230</v>
      </c>
    </row>
    <row r="7" spans="1:16" ht="15" customHeight="1" x14ac:dyDescent="0.25">
      <c r="A7" s="141" t="s">
        <v>1231</v>
      </c>
      <c r="B7" s="141" t="str" cm="1">
        <f t="array" ref="B7">_xlfn.LET(
  _xlpm.ids, VALUE(_xlfn.TEXTSPLIT(SUBSTITUTE(A7,",",";"),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7" s="141" t="s">
        <v>95</v>
      </c>
      <c r="D7" s="38"/>
      <c r="E7" s="38" t="s">
        <v>479</v>
      </c>
      <c r="F7" s="38"/>
      <c r="G7" s="38" t="s">
        <v>124</v>
      </c>
      <c r="H7" s="38"/>
      <c r="I7" s="38"/>
      <c r="J7" s="15" t="s">
        <v>807</v>
      </c>
      <c r="K7" s="15" t="s">
        <v>1232</v>
      </c>
      <c r="L7" s="38"/>
      <c r="M7" s="38"/>
    </row>
    <row r="8" spans="1:16" ht="15" customHeight="1" x14ac:dyDescent="0.25">
      <c r="A8" s="50" t="s">
        <v>220</v>
      </c>
      <c r="B8" s="50" t="b" cm="1">
        <f t="array" ref="B8">_xlfn.LET(
  _xlpm.ids, VALUE(_xlfn.TEXTSPLIT(SUBSTITUTE(A8,",",";"),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 s="50" t="s">
        <v>95</v>
      </c>
      <c r="D8" s="10"/>
      <c r="E8" s="10" t="s">
        <v>210</v>
      </c>
      <c r="F8" s="10"/>
      <c r="G8" s="10" t="s">
        <v>218</v>
      </c>
      <c r="H8" s="10"/>
      <c r="I8" s="10"/>
      <c r="J8" s="4" t="s">
        <v>219</v>
      </c>
      <c r="K8" s="4" t="s">
        <v>221</v>
      </c>
      <c r="L8" s="28"/>
      <c r="M8" s="28"/>
    </row>
    <row r="9" spans="1:16" ht="15" customHeight="1" x14ac:dyDescent="0.25">
      <c r="A9" s="50" t="s">
        <v>1233</v>
      </c>
      <c r="B9" s="50" t="str" cm="1">
        <f t="array" ref="B9">_xlfn.LET(
  _xlpm.ids, VALUE(_xlfn.TEXTSPLIT(SUBSTITUTE(A9,",",";"),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9" s="50" t="s">
        <v>95</v>
      </c>
      <c r="D9" s="10"/>
      <c r="E9" s="28" t="s">
        <v>1159</v>
      </c>
      <c r="F9" s="28"/>
      <c r="G9" s="38" t="s">
        <v>222</v>
      </c>
      <c r="H9" s="38"/>
      <c r="I9" s="38"/>
      <c r="J9" s="4" t="s">
        <v>223</v>
      </c>
      <c r="K9" s="4" t="s">
        <v>1234</v>
      </c>
      <c r="L9" s="28"/>
      <c r="M9" s="28"/>
    </row>
    <row r="10" spans="1:16" ht="15" customHeight="1" x14ac:dyDescent="0.25">
      <c r="A10" s="48">
        <v>4</v>
      </c>
      <c r="B10" s="48" t="b" cm="1">
        <f t="array" ref="B10">_xlfn.LET(
  _xlpm.ids, VALUE(_xlfn.TEXTSPLIT(SUBSTITUTE(A10,",",";"),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0" s="48" t="s">
        <v>95</v>
      </c>
      <c r="E10" s="14" t="s">
        <v>1235</v>
      </c>
      <c r="G10" s="14" t="s">
        <v>115</v>
      </c>
      <c r="J10" s="4" t="s">
        <v>861</v>
      </c>
      <c r="K10" s="4" t="s">
        <v>247</v>
      </c>
      <c r="M10" s="14" t="s">
        <v>862</v>
      </c>
    </row>
    <row r="11" spans="1:16" ht="15" customHeight="1" x14ac:dyDescent="0.25">
      <c r="A11" s="50">
        <v>14</v>
      </c>
      <c r="B11" s="50" t="b" cm="1">
        <f t="array" ref="B11">_xlfn.LET(
  _xlpm.ids, VALUE(_xlfn.TEXTSPLIT(SUBSTITUTE(A11,",",";"),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1" s="50" t="s">
        <v>95</v>
      </c>
      <c r="D11" s="10"/>
      <c r="E11" s="10" t="s">
        <v>210</v>
      </c>
      <c r="F11" s="10"/>
      <c r="G11" s="10" t="s">
        <v>115</v>
      </c>
      <c r="H11" s="10"/>
      <c r="I11" s="10"/>
      <c r="J11" s="4" t="s">
        <v>245</v>
      </c>
      <c r="K11" s="4" t="s">
        <v>140</v>
      </c>
      <c r="L11" s="28"/>
      <c r="M11" s="28"/>
    </row>
    <row r="12" spans="1:16" ht="15" customHeight="1" x14ac:dyDescent="0.25">
      <c r="A12" s="141">
        <v>16</v>
      </c>
      <c r="B12" s="141" t="b" cm="1">
        <f t="array" ref="B12">_xlfn.LET(
  _xlpm.ids, VALUE(_xlfn.TEXTSPLIT(SUBSTITUTE(A12,",",";"),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 s="141" t="s">
        <v>95</v>
      </c>
      <c r="D12" s="38"/>
      <c r="E12" s="38" t="s">
        <v>477</v>
      </c>
      <c r="F12" s="38"/>
      <c r="G12" s="38" t="s">
        <v>124</v>
      </c>
      <c r="H12" s="38"/>
      <c r="I12" s="38"/>
      <c r="J12" s="15" t="s">
        <v>389</v>
      </c>
      <c r="K12" s="15" t="s">
        <v>244</v>
      </c>
      <c r="L12" s="38"/>
      <c r="M12" s="38"/>
    </row>
    <row r="13" spans="1:16" ht="15" customHeight="1" x14ac:dyDescent="0.25">
      <c r="A13" s="50">
        <v>7</v>
      </c>
      <c r="B13" s="50" t="b" cm="1">
        <f t="array" ref="B13">_xlfn.LET(
  _xlpm.ids, VALUE(_xlfn.TEXTSPLIT(SUBSTITUTE(A13,",",";"),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3" s="50" t="s">
        <v>95</v>
      </c>
      <c r="D13" s="28"/>
      <c r="E13" s="38" t="s">
        <v>477</v>
      </c>
      <c r="F13" s="38"/>
      <c r="G13" s="28" t="s">
        <v>110</v>
      </c>
      <c r="H13" s="28"/>
      <c r="I13" s="28"/>
      <c r="J13" s="4" t="s">
        <v>752</v>
      </c>
      <c r="K13" s="4" t="s">
        <v>153</v>
      </c>
      <c r="L13" s="28"/>
      <c r="M13" s="28"/>
    </row>
    <row r="14" spans="1:16" ht="15" customHeight="1" x14ac:dyDescent="0.25">
      <c r="A14" s="45">
        <v>28</v>
      </c>
      <c r="B14" s="45" t="b" cm="1">
        <f t="array" ref="B14">_xlfn.LET(
  _xlpm.ids, VALUE(_xlfn.TEXTSPLIT(SUBSTITUTE(A14,",",";"),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 s="45" t="s">
        <v>95</v>
      </c>
      <c r="E14" s="14" t="s">
        <v>479</v>
      </c>
      <c r="G14" s="39" t="s">
        <v>115</v>
      </c>
      <c r="H14" s="39"/>
      <c r="I14" s="39"/>
      <c r="J14" s="8" t="s">
        <v>806</v>
      </c>
      <c r="K14" s="8" t="s">
        <v>496</v>
      </c>
      <c r="L14" s="40"/>
    </row>
    <row r="15" spans="1:16" ht="15" customHeight="1" x14ac:dyDescent="0.25">
      <c r="A15" s="45">
        <v>27</v>
      </c>
      <c r="B15" s="45" t="b" cm="1">
        <f t="array" ref="B15">_xlfn.LET(
  _xlpm.ids, VALUE(_xlfn.TEXTSPLIT(SUBSTITUTE(A15,",",";"),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 s="45" t="s">
        <v>95</v>
      </c>
      <c r="E15" s="14" t="s">
        <v>1236</v>
      </c>
      <c r="G15" s="14" t="s">
        <v>110</v>
      </c>
      <c r="J15" s="8" t="s">
        <v>478</v>
      </c>
      <c r="K15" s="8"/>
    </row>
    <row r="16" spans="1:16" ht="15" customHeight="1" x14ac:dyDescent="0.25">
      <c r="A16" s="141">
        <v>10</v>
      </c>
      <c r="B16" s="141" t="b" cm="1">
        <f t="array" ref="B16">_xlfn.LET(
  _xlpm.ids, VALUE(_xlfn.TEXTSPLIT(SUBSTITUTE(A16,",",";"),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6" s="141" t="s">
        <v>95</v>
      </c>
      <c r="D16" s="38"/>
      <c r="E16" s="38" t="s">
        <v>477</v>
      </c>
      <c r="F16" s="38"/>
      <c r="G16" s="38" t="s">
        <v>124</v>
      </c>
      <c r="H16" s="38"/>
      <c r="I16" s="38"/>
      <c r="J16" s="15" t="s">
        <v>822</v>
      </c>
      <c r="K16" s="15" t="s">
        <v>148</v>
      </c>
      <c r="L16" s="38"/>
      <c r="M16" s="38"/>
    </row>
    <row r="17" spans="1:11" ht="15" customHeight="1" x14ac:dyDescent="0.25">
      <c r="A17" s="45">
        <v>27</v>
      </c>
      <c r="B17" s="45" t="b" cm="1">
        <f t="array" ref="B17">_xlfn.LET(
  _xlpm.ids, VALUE(_xlfn.TEXTSPLIT(SUBSTITUTE(A17,",",";"),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7" s="45" t="s">
        <v>95</v>
      </c>
      <c r="E17" s="14" t="s">
        <v>210</v>
      </c>
      <c r="G17" s="14" t="s">
        <v>115</v>
      </c>
      <c r="J17" s="8" t="s">
        <v>225</v>
      </c>
      <c r="K17" s="8"/>
    </row>
  </sheetData>
  <autoFilter ref="A1:M17" xr:uid="{E157E6B3-ADE9-C844-A963-1D7554EADDE4}">
    <sortState xmlns:xlrd2="http://schemas.microsoft.com/office/spreadsheetml/2017/richdata2" ref="A2:M22">
      <sortCondition ref="J1:J22"/>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628F5-44AF-7343-8FE6-76A72A2356E0}">
  <dimension ref="A1:P37"/>
  <sheetViews>
    <sheetView workbookViewId="0">
      <selection activeCell="D5" sqref="D5"/>
    </sheetView>
  </sheetViews>
  <sheetFormatPr defaultColWidth="11" defaultRowHeight="15" customHeight="1" x14ac:dyDescent="0.25"/>
  <cols>
    <col min="1" max="1" width="9.875" style="48" customWidth="1"/>
    <col min="2" max="3" width="10.125" style="48" customWidth="1"/>
    <col min="4" max="9" width="18.375" style="14" customWidth="1"/>
    <col min="10" max="10" width="52.125" style="14" customWidth="1"/>
    <col min="11" max="16" width="18.375" style="14" customWidth="1"/>
    <col min="17" max="16384" width="11" style="14"/>
  </cols>
  <sheetData>
    <row r="1" spans="1:16" ht="39.75" customHeight="1" x14ac:dyDescent="0.25">
      <c r="A1" s="43" t="s">
        <v>0</v>
      </c>
      <c r="B1" s="43" t="s">
        <v>1160</v>
      </c>
      <c r="C1" s="43" t="s">
        <v>78</v>
      </c>
      <c r="D1" s="1" t="s">
        <v>79</v>
      </c>
      <c r="E1" s="1" t="s">
        <v>80</v>
      </c>
      <c r="F1" s="1" t="s">
        <v>81</v>
      </c>
      <c r="G1" s="1" t="s">
        <v>82</v>
      </c>
      <c r="H1" s="1" t="s">
        <v>1167</v>
      </c>
      <c r="I1" s="1" t="s">
        <v>77</v>
      </c>
      <c r="J1" s="1" t="s">
        <v>84</v>
      </c>
      <c r="K1" s="1" t="s">
        <v>88</v>
      </c>
      <c r="L1" s="1" t="s">
        <v>5</v>
      </c>
      <c r="M1" s="1" t="s">
        <v>1163</v>
      </c>
      <c r="N1" s="1" t="s">
        <v>1161</v>
      </c>
      <c r="O1" s="1" t="s">
        <v>1162</v>
      </c>
      <c r="P1" s="1" t="s">
        <v>86</v>
      </c>
    </row>
    <row r="2" spans="1:16" ht="15" customHeight="1" x14ac:dyDescent="0.25">
      <c r="A2" s="45">
        <v>3</v>
      </c>
      <c r="B2" s="45" t="b" cm="1">
        <f t="array" ref="B2">_xlfn.LET(
  _xlpm.ids, VALUE(_xlfn.TEXTSPLIT(SUBSTITUTE(A2,",",";"),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 s="45" t="s">
        <v>96</v>
      </c>
      <c r="D2" s="8"/>
      <c r="E2" s="8"/>
      <c r="F2" s="8"/>
      <c r="G2" s="8"/>
      <c r="H2" s="8"/>
      <c r="I2" s="8"/>
      <c r="J2" s="4" t="s">
        <v>121</v>
      </c>
      <c r="K2" s="4" t="s">
        <v>122</v>
      </c>
      <c r="L2" s="8"/>
      <c r="M2" s="8"/>
    </row>
    <row r="3" spans="1:16" ht="15" customHeight="1" x14ac:dyDescent="0.25">
      <c r="A3" s="45">
        <v>3</v>
      </c>
      <c r="B3" s="45" t="b" cm="1">
        <f t="array" ref="B3">_xlfn.LET(
  _xlpm.ids, VALUE(_xlfn.TEXTSPLIT(SUBSTITUTE(A3,",",";"),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 s="45" t="s">
        <v>96</v>
      </c>
      <c r="D3" s="8"/>
      <c r="E3" s="8"/>
      <c r="F3" s="8"/>
      <c r="G3" s="8"/>
      <c r="H3" s="8"/>
      <c r="I3" s="8"/>
      <c r="J3" s="4" t="s">
        <v>818</v>
      </c>
      <c r="K3" s="4" t="s">
        <v>122</v>
      </c>
      <c r="L3" s="8"/>
      <c r="M3" s="8"/>
    </row>
    <row r="4" spans="1:16" ht="15" customHeight="1" x14ac:dyDescent="0.25">
      <c r="A4" s="44">
        <v>7</v>
      </c>
      <c r="B4" s="44" t="b" cm="1">
        <f t="array" ref="B4">_xlfn.LET(
  _xlpm.ids, VALUE(_xlfn.TEXTSPLIT(SUBSTITUTE(A4,",",";"),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 s="44" t="s">
        <v>96</v>
      </c>
      <c r="D4" s="10"/>
      <c r="E4" s="10" t="s">
        <v>1019</v>
      </c>
      <c r="F4" s="10"/>
      <c r="G4" s="10" t="s">
        <v>295</v>
      </c>
      <c r="H4" s="10"/>
      <c r="I4" s="10"/>
      <c r="J4" s="4" t="s">
        <v>825</v>
      </c>
      <c r="K4" s="4" t="s">
        <v>153</v>
      </c>
      <c r="L4" s="10"/>
      <c r="M4" s="10"/>
    </row>
    <row r="5" spans="1:16" ht="15" customHeight="1" x14ac:dyDescent="0.25">
      <c r="A5" s="44">
        <v>9</v>
      </c>
      <c r="B5" s="44" t="b" cm="1">
        <f t="array" ref="B5">_xlfn.LET(
  _xlpm.ids, VALUE(_xlfn.TEXTSPLIT(SUBSTITUTE(A5,",",";"),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5" s="44" t="s">
        <v>96</v>
      </c>
      <c r="D5" s="10"/>
      <c r="E5" s="10"/>
      <c r="F5" s="10"/>
      <c r="G5" s="10" t="s">
        <v>115</v>
      </c>
      <c r="H5" s="10"/>
      <c r="I5" s="10"/>
      <c r="J5" s="4" t="s">
        <v>935</v>
      </c>
      <c r="K5" s="4" t="s">
        <v>112</v>
      </c>
      <c r="L5" s="10"/>
      <c r="M5" s="10"/>
    </row>
    <row r="6" spans="1:16" ht="15" customHeight="1" x14ac:dyDescent="0.25">
      <c r="A6" s="55">
        <v>10</v>
      </c>
      <c r="B6" s="55" t="b" cm="1">
        <f t="array" ref="B6">_xlfn.LET(
  _xlpm.ids, VALUE(_xlfn.TEXTSPLIT(SUBSTITUTE(A6,",",";"),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 s="55" t="s">
        <v>96</v>
      </c>
      <c r="D6" s="15" t="s">
        <v>96</v>
      </c>
      <c r="E6" s="15" t="s">
        <v>1237</v>
      </c>
      <c r="F6" s="15"/>
      <c r="G6" s="15" t="s">
        <v>290</v>
      </c>
      <c r="H6" s="15"/>
      <c r="I6" s="15"/>
      <c r="J6" s="15" t="s">
        <v>810</v>
      </c>
      <c r="K6" s="147" t="s">
        <v>148</v>
      </c>
      <c r="L6" s="15"/>
      <c r="M6" s="15"/>
    </row>
    <row r="7" spans="1:16" ht="15" customHeight="1" x14ac:dyDescent="0.25">
      <c r="A7" s="46">
        <v>13</v>
      </c>
      <c r="B7" s="46" t="b" cm="1">
        <f t="array" ref="B7">_xlfn.LET(
  _xlpm.ids, VALUE(_xlfn.TEXTSPLIT(SUBSTITUTE(A7,",",";"),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 s="46" t="s">
        <v>96</v>
      </c>
      <c r="D7" s="13"/>
      <c r="E7" s="13"/>
      <c r="F7" s="13"/>
      <c r="G7" s="13" t="s">
        <v>115</v>
      </c>
      <c r="H7" s="13"/>
      <c r="I7" s="13"/>
      <c r="J7" s="7" t="s">
        <v>850</v>
      </c>
      <c r="K7" s="7" t="s">
        <v>151</v>
      </c>
      <c r="L7" s="13" t="s">
        <v>851</v>
      </c>
      <c r="M7" s="13" t="s">
        <v>852</v>
      </c>
    </row>
    <row r="8" spans="1:16" ht="15" customHeight="1" x14ac:dyDescent="0.25">
      <c r="A8" s="44">
        <v>13</v>
      </c>
      <c r="B8" s="44" t="b" cm="1">
        <f t="array" ref="B8">_xlfn.LET(
  _xlpm.ids, VALUE(_xlfn.TEXTSPLIT(SUBSTITUTE(A8,",",";"),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 s="44" t="s">
        <v>96</v>
      </c>
      <c r="D8" s="10"/>
      <c r="E8" s="10" t="s">
        <v>381</v>
      </c>
      <c r="F8" s="10"/>
      <c r="G8" s="10" t="s">
        <v>115</v>
      </c>
      <c r="H8" s="10"/>
      <c r="I8" s="10"/>
      <c r="J8" s="4" t="s">
        <v>369</v>
      </c>
      <c r="K8" s="4" t="s">
        <v>151</v>
      </c>
      <c r="L8" s="10"/>
      <c r="M8" s="10"/>
    </row>
    <row r="9" spans="1:16" ht="15" customHeight="1" x14ac:dyDescent="0.25">
      <c r="A9" s="44">
        <v>13</v>
      </c>
      <c r="B9" s="44" t="b" cm="1">
        <f t="array" ref="B9">_xlfn.LET(
  _xlpm.ids, VALUE(_xlfn.TEXTSPLIT(SUBSTITUTE(A9,",",";"),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9" s="44" t="s">
        <v>96</v>
      </c>
      <c r="D9" s="10"/>
      <c r="E9" s="10" t="s">
        <v>381</v>
      </c>
      <c r="F9" s="10"/>
      <c r="G9" s="10" t="s">
        <v>115</v>
      </c>
      <c r="H9" s="10"/>
      <c r="I9" s="10"/>
      <c r="J9" s="4" t="s">
        <v>384</v>
      </c>
      <c r="K9" s="4" t="s">
        <v>151</v>
      </c>
      <c r="L9" s="10"/>
      <c r="M9" s="10"/>
    </row>
    <row r="10" spans="1:16" ht="15" customHeight="1" x14ac:dyDescent="0.25">
      <c r="A10" s="46">
        <v>13</v>
      </c>
      <c r="B10" s="46" t="b" cm="1">
        <f t="array" ref="B10">_xlfn.LET(
  _xlpm.ids, VALUE(_xlfn.TEXTSPLIT(SUBSTITUTE(A10,",",";"),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 s="46" t="s">
        <v>96</v>
      </c>
      <c r="D10" s="13"/>
      <c r="E10" s="13"/>
      <c r="F10" s="13"/>
      <c r="G10" s="13" t="s">
        <v>115</v>
      </c>
      <c r="H10" s="13"/>
      <c r="I10" s="13"/>
      <c r="J10" s="7" t="s">
        <v>853</v>
      </c>
      <c r="K10" s="7" t="s">
        <v>151</v>
      </c>
      <c r="L10" s="13" t="s">
        <v>851</v>
      </c>
      <c r="M10" s="13" t="s">
        <v>852</v>
      </c>
    </row>
    <row r="11" spans="1:16" ht="15" customHeight="1" x14ac:dyDescent="0.25">
      <c r="A11" s="46">
        <v>13</v>
      </c>
      <c r="B11" s="46" t="b" cm="1">
        <f t="array" ref="B11">_xlfn.LET(
  _xlpm.ids, VALUE(_xlfn.TEXTSPLIT(SUBSTITUTE(A11,",",";"),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 s="46" t="s">
        <v>96</v>
      </c>
      <c r="D11" s="13"/>
      <c r="E11" s="13"/>
      <c r="F11" s="13"/>
      <c r="G11" s="13" t="s">
        <v>115</v>
      </c>
      <c r="H11" s="13"/>
      <c r="I11" s="13"/>
      <c r="J11" s="7" t="s">
        <v>1238</v>
      </c>
      <c r="K11" s="7" t="s">
        <v>151</v>
      </c>
      <c r="L11" s="13" t="s">
        <v>851</v>
      </c>
      <c r="M11" s="13" t="s">
        <v>852</v>
      </c>
    </row>
    <row r="12" spans="1:16" ht="15" customHeight="1" x14ac:dyDescent="0.25">
      <c r="A12" s="44">
        <v>13</v>
      </c>
      <c r="B12" s="44" t="b" cm="1">
        <f t="array" ref="B12">_xlfn.LET(
  _xlpm.ids, VALUE(_xlfn.TEXTSPLIT(SUBSTITUTE(A12,",",";"),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 s="44" t="s">
        <v>96</v>
      </c>
      <c r="D12" s="10"/>
      <c r="E12" s="10" t="s">
        <v>1239</v>
      </c>
      <c r="F12" s="10"/>
      <c r="G12" s="10" t="s">
        <v>115</v>
      </c>
      <c r="H12" s="10"/>
      <c r="I12" s="10"/>
      <c r="J12" s="4" t="s">
        <v>848</v>
      </c>
      <c r="K12" s="4" t="s">
        <v>151</v>
      </c>
      <c r="L12" s="10"/>
      <c r="M12" s="10"/>
    </row>
    <row r="13" spans="1:16" ht="15" customHeight="1" x14ac:dyDescent="0.25">
      <c r="A13" s="44">
        <v>13</v>
      </c>
      <c r="B13" s="44" t="b" cm="1">
        <f t="array" ref="B13">_xlfn.LET(
  _xlpm.ids, VALUE(_xlfn.TEXTSPLIT(SUBSTITUTE(A13,",",";"),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 s="44" t="s">
        <v>96</v>
      </c>
      <c r="D13" s="10"/>
      <c r="E13" s="10" t="s">
        <v>1239</v>
      </c>
      <c r="F13" s="10"/>
      <c r="G13" s="10" t="s">
        <v>115</v>
      </c>
      <c r="H13" s="10"/>
      <c r="I13" s="10"/>
      <c r="J13" s="4" t="s">
        <v>849</v>
      </c>
      <c r="K13" s="4" t="s">
        <v>151</v>
      </c>
      <c r="L13" s="10"/>
      <c r="M13" s="10"/>
    </row>
    <row r="14" spans="1:16" ht="15" customHeight="1" x14ac:dyDescent="0.25">
      <c r="A14" s="55">
        <v>16</v>
      </c>
      <c r="B14" s="55" t="b" cm="1">
        <f t="array" ref="B14">_xlfn.LET(
  _xlpm.ids, VALUE(_xlfn.TEXTSPLIT(SUBSTITUTE(A14,",",";"),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 s="55" t="s">
        <v>96</v>
      </c>
      <c r="D14" s="15" t="s">
        <v>96</v>
      </c>
      <c r="E14" s="15" t="s">
        <v>1237</v>
      </c>
      <c r="F14" s="15"/>
      <c r="G14" s="15" t="s">
        <v>115</v>
      </c>
      <c r="H14" s="15"/>
      <c r="I14" s="15"/>
      <c r="J14" s="15" t="s">
        <v>845</v>
      </c>
      <c r="K14" s="15" t="s">
        <v>244</v>
      </c>
      <c r="L14" s="15"/>
      <c r="M14" s="15"/>
    </row>
    <row r="15" spans="1:16" ht="15" customHeight="1" x14ac:dyDescent="0.25">
      <c r="A15" s="55">
        <v>16</v>
      </c>
      <c r="B15" s="55" t="b" cm="1">
        <f t="array" ref="B15">_xlfn.LET(
  _xlpm.ids, VALUE(_xlfn.TEXTSPLIT(SUBSTITUTE(A15,",",";"),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 s="55" t="s">
        <v>96</v>
      </c>
      <c r="D15" s="15" t="s">
        <v>96</v>
      </c>
      <c r="E15" s="15" t="s">
        <v>1237</v>
      </c>
      <c r="F15" s="15"/>
      <c r="G15" s="15" t="s">
        <v>115</v>
      </c>
      <c r="H15" s="15"/>
      <c r="I15" s="15"/>
      <c r="J15" s="15" t="s">
        <v>844</v>
      </c>
      <c r="K15" s="15" t="s">
        <v>244</v>
      </c>
      <c r="L15" s="15"/>
      <c r="M15" s="15"/>
    </row>
    <row r="16" spans="1:16" ht="15" customHeight="1" x14ac:dyDescent="0.25">
      <c r="A16" s="55">
        <v>16</v>
      </c>
      <c r="B16" s="55" t="b" cm="1">
        <f t="array" ref="B16">_xlfn.LET(
  _xlpm.ids, VALUE(_xlfn.TEXTSPLIT(SUBSTITUTE(A16,",",";"),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 s="55" t="s">
        <v>96</v>
      </c>
      <c r="D16" s="15" t="s">
        <v>96</v>
      </c>
      <c r="E16" s="15" t="s">
        <v>381</v>
      </c>
      <c r="F16" s="15"/>
      <c r="G16" s="15" t="s">
        <v>115</v>
      </c>
      <c r="H16" s="15"/>
      <c r="I16" s="15"/>
      <c r="J16" s="15" t="s">
        <v>846</v>
      </c>
      <c r="K16" s="15" t="s">
        <v>244</v>
      </c>
      <c r="L16" s="15"/>
      <c r="M16" s="15"/>
    </row>
    <row r="17" spans="1:13" ht="15" customHeight="1" x14ac:dyDescent="0.25">
      <c r="A17" s="45">
        <v>17</v>
      </c>
      <c r="B17" s="45" t="b" cm="1">
        <f t="array" ref="B17">_xlfn.LET(
  _xlpm.ids, VALUE(_xlfn.TEXTSPLIT(SUBSTITUTE(A17,",",";"),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7" s="45" t="s">
        <v>96</v>
      </c>
      <c r="D17" s="8" t="s">
        <v>1240</v>
      </c>
      <c r="E17" s="8" t="s">
        <v>481</v>
      </c>
      <c r="F17" s="8"/>
      <c r="G17" s="8" t="s">
        <v>115</v>
      </c>
      <c r="H17" s="8"/>
      <c r="I17" s="8"/>
      <c r="J17" s="4" t="s">
        <v>892</v>
      </c>
      <c r="K17" s="4" t="s">
        <v>188</v>
      </c>
      <c r="L17" s="8"/>
      <c r="M17" s="8"/>
    </row>
    <row r="18" spans="1:13" ht="15" customHeight="1" x14ac:dyDescent="0.25">
      <c r="A18" s="44">
        <v>18</v>
      </c>
      <c r="B18" s="44" t="b" cm="1">
        <f t="array" ref="B18">_xlfn.LET(
  _xlpm.ids, VALUE(_xlfn.TEXTSPLIT(SUBSTITUTE(A18,",",";"),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8" s="44" t="s">
        <v>96</v>
      </c>
      <c r="D18" s="10"/>
      <c r="E18" s="10" t="s">
        <v>381</v>
      </c>
      <c r="F18" s="10"/>
      <c r="G18" s="10" t="s">
        <v>290</v>
      </c>
      <c r="H18" s="10"/>
      <c r="I18" s="10"/>
      <c r="J18" s="4" t="s">
        <v>386</v>
      </c>
      <c r="K18" s="4" t="s">
        <v>292</v>
      </c>
      <c r="L18" s="10"/>
      <c r="M18" s="10"/>
    </row>
    <row r="19" spans="1:13" ht="15" customHeight="1" x14ac:dyDescent="0.25">
      <c r="A19" s="44">
        <v>18</v>
      </c>
      <c r="B19" s="44" t="b" cm="1">
        <f t="array" ref="B19">_xlfn.LET(
  _xlpm.ids, VALUE(_xlfn.TEXTSPLIT(SUBSTITUTE(A19,",",";"),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9" s="44" t="s">
        <v>96</v>
      </c>
      <c r="D19" s="10"/>
      <c r="E19" s="10" t="s">
        <v>481</v>
      </c>
      <c r="F19" s="10"/>
      <c r="G19" s="10" t="s">
        <v>290</v>
      </c>
      <c r="H19" s="10"/>
      <c r="I19" s="10"/>
      <c r="J19" s="4" t="s">
        <v>484</v>
      </c>
      <c r="K19" s="4" t="s">
        <v>292</v>
      </c>
      <c r="L19" s="10"/>
      <c r="M19" s="10"/>
    </row>
    <row r="20" spans="1:13" ht="15" customHeight="1" x14ac:dyDescent="0.25">
      <c r="A20" s="44">
        <v>19</v>
      </c>
      <c r="B20" s="44" t="b" cm="1">
        <f t="array" ref="B20">_xlfn.LET(
  _xlpm.ids, VALUE(_xlfn.TEXTSPLIT(SUBSTITUTE(A20,",",";"),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0" s="44" t="s">
        <v>96</v>
      </c>
      <c r="D20" s="10"/>
      <c r="E20" s="10" t="s">
        <v>1241</v>
      </c>
      <c r="F20" s="10"/>
      <c r="G20" s="10" t="s">
        <v>290</v>
      </c>
      <c r="H20" s="10"/>
      <c r="I20" s="10"/>
      <c r="J20" s="4" t="s">
        <v>814</v>
      </c>
      <c r="K20" s="4" t="s">
        <v>309</v>
      </c>
      <c r="L20" s="10" t="s">
        <v>815</v>
      </c>
      <c r="M20" s="10"/>
    </row>
    <row r="21" spans="1:13" ht="15" customHeight="1" x14ac:dyDescent="0.25">
      <c r="A21" s="44">
        <v>20</v>
      </c>
      <c r="B21" s="44" t="b" cm="1">
        <f t="array" ref="B21">_xlfn.LET(
  _xlpm.ids, VALUE(_xlfn.TEXTSPLIT(SUBSTITUTE(A21,",",";"),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1" s="44" t="s">
        <v>96</v>
      </c>
      <c r="D21" s="10"/>
      <c r="E21" s="10" t="s">
        <v>381</v>
      </c>
      <c r="F21" s="10"/>
      <c r="G21" s="10" t="s">
        <v>290</v>
      </c>
      <c r="H21" s="10"/>
      <c r="I21" s="10"/>
      <c r="J21" s="4" t="s">
        <v>382</v>
      </c>
      <c r="K21" s="4" t="s">
        <v>355</v>
      </c>
      <c r="L21" s="10"/>
      <c r="M21" s="10"/>
    </row>
    <row r="22" spans="1:13" ht="15" customHeight="1" x14ac:dyDescent="0.25">
      <c r="A22" s="44">
        <v>20</v>
      </c>
      <c r="B22" s="44" t="b" cm="1">
        <f t="array" ref="B22">_xlfn.LET(
  _xlpm.ids, VALUE(_xlfn.TEXTSPLIT(SUBSTITUTE(A22,",",";"),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2" s="44" t="s">
        <v>96</v>
      </c>
      <c r="D22" s="10"/>
      <c r="E22" s="10" t="s">
        <v>481</v>
      </c>
      <c r="F22" s="10"/>
      <c r="G22" s="10" t="s">
        <v>290</v>
      </c>
      <c r="H22" s="10"/>
      <c r="I22" s="10"/>
      <c r="J22" s="4" t="s">
        <v>483</v>
      </c>
      <c r="K22" s="4" t="s">
        <v>355</v>
      </c>
      <c r="L22" s="10"/>
      <c r="M22" s="10"/>
    </row>
    <row r="23" spans="1:13" ht="15" customHeight="1" x14ac:dyDescent="0.25">
      <c r="A23" s="44">
        <v>20</v>
      </c>
      <c r="B23" s="44" t="b" cm="1">
        <f t="array" ref="B23">_xlfn.LET(
  _xlpm.ids, VALUE(_xlfn.TEXTSPLIT(SUBSTITUTE(A23,",",";"),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3" s="44" t="s">
        <v>96</v>
      </c>
      <c r="D23" s="10"/>
      <c r="E23" s="10" t="s">
        <v>381</v>
      </c>
      <c r="F23" s="10"/>
      <c r="G23" s="10" t="s">
        <v>290</v>
      </c>
      <c r="H23" s="10"/>
      <c r="I23" s="10"/>
      <c r="J23" s="4" t="s">
        <v>385</v>
      </c>
      <c r="K23" s="4" t="s">
        <v>355</v>
      </c>
      <c r="L23" s="10"/>
      <c r="M23" s="10"/>
    </row>
    <row r="24" spans="1:13" ht="15" customHeight="1" x14ac:dyDescent="0.25">
      <c r="A24" s="44">
        <v>21</v>
      </c>
      <c r="B24" s="44" t="b" cm="1">
        <f t="array" ref="B24">_xlfn.LET(
  _xlpm.ids, VALUE(_xlfn.TEXTSPLIT(SUBSTITUTE(A24,",",";"),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4" s="44" t="s">
        <v>96</v>
      </c>
      <c r="D24" s="10"/>
      <c r="E24" s="15" t="s">
        <v>1237</v>
      </c>
      <c r="F24" s="15"/>
      <c r="G24" s="10" t="s">
        <v>275</v>
      </c>
      <c r="H24" s="10"/>
      <c r="I24" s="10"/>
      <c r="J24" s="4" t="s">
        <v>817</v>
      </c>
      <c r="K24" s="4" t="s">
        <v>107</v>
      </c>
      <c r="L24" s="10"/>
      <c r="M24" s="10"/>
    </row>
    <row r="25" spans="1:13" ht="15" customHeight="1" x14ac:dyDescent="0.25">
      <c r="A25" s="44">
        <v>22</v>
      </c>
      <c r="B25" s="44" t="b" cm="1">
        <f t="array" ref="B25">_xlfn.LET(
  _xlpm.ids, VALUE(_xlfn.TEXTSPLIT(SUBSTITUTE(A25,",",";"),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5" s="44" t="s">
        <v>96</v>
      </c>
      <c r="D25" s="10"/>
      <c r="E25" s="10" t="s">
        <v>1241</v>
      </c>
      <c r="F25" s="10"/>
      <c r="G25" s="10" t="s">
        <v>179</v>
      </c>
      <c r="H25" s="10"/>
      <c r="I25" s="10"/>
      <c r="J25" s="4" t="s">
        <v>842</v>
      </c>
      <c r="K25" s="4" t="s">
        <v>112</v>
      </c>
      <c r="L25" s="10"/>
      <c r="M25" s="10"/>
    </row>
    <row r="26" spans="1:13" ht="15" customHeight="1" x14ac:dyDescent="0.25">
      <c r="A26" s="45">
        <v>26</v>
      </c>
      <c r="B26" s="45" t="b" cm="1">
        <f t="array" ref="B26">_xlfn.LET(
  _xlpm.ids, VALUE(_xlfn.TEXTSPLIT(SUBSTITUTE(A26,",",";"),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6" s="45" t="s">
        <v>96</v>
      </c>
      <c r="D26" s="8"/>
      <c r="E26" s="8" t="s">
        <v>481</v>
      </c>
      <c r="F26" s="8"/>
      <c r="G26" s="8" t="s">
        <v>115</v>
      </c>
      <c r="H26" s="8"/>
      <c r="I26" s="8"/>
      <c r="J26" s="8" t="s">
        <v>485</v>
      </c>
      <c r="K26" s="8" t="s">
        <v>134</v>
      </c>
      <c r="L26" s="8"/>
      <c r="M26" s="8" t="s">
        <v>486</v>
      </c>
    </row>
    <row r="27" spans="1:13" ht="15" customHeight="1" x14ac:dyDescent="0.25">
      <c r="A27" s="47">
        <v>26</v>
      </c>
      <c r="B27" s="47" t="b" cm="1">
        <f t="array" ref="B27">_xlfn.LET(
  _xlpm.ids, VALUE(_xlfn.TEXTSPLIT(SUBSTITUTE(A27,",",";"),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7" s="47" t="s">
        <v>96</v>
      </c>
      <c r="D27" s="21"/>
      <c r="E27" s="21"/>
      <c r="F27" s="21"/>
      <c r="G27" s="21" t="s">
        <v>115</v>
      </c>
      <c r="H27" s="21"/>
      <c r="I27" s="21"/>
      <c r="J27" s="21" t="s">
        <v>304</v>
      </c>
      <c r="K27" s="21" t="s">
        <v>134</v>
      </c>
      <c r="L27" s="21"/>
      <c r="M27" s="21"/>
    </row>
    <row r="28" spans="1:13" ht="15" customHeight="1" x14ac:dyDescent="0.25">
      <c r="A28" s="45">
        <v>26</v>
      </c>
      <c r="B28" s="45" t="b" cm="1">
        <f t="array" ref="B28">_xlfn.LET(
  _xlpm.ids, VALUE(_xlfn.TEXTSPLIT(SUBSTITUTE(A28,",",";"),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8" s="45" t="s">
        <v>96</v>
      </c>
      <c r="D28" s="8"/>
      <c r="E28" s="8" t="s">
        <v>481</v>
      </c>
      <c r="F28" s="8"/>
      <c r="G28" s="8" t="s">
        <v>115</v>
      </c>
      <c r="H28" s="8"/>
      <c r="I28" s="8"/>
      <c r="J28" s="8" t="s">
        <v>488</v>
      </c>
      <c r="K28" s="8" t="s">
        <v>134</v>
      </c>
      <c r="L28" s="8"/>
      <c r="M28" s="8"/>
    </row>
    <row r="29" spans="1:13" ht="15" customHeight="1" x14ac:dyDescent="0.25">
      <c r="A29" s="45">
        <v>26</v>
      </c>
      <c r="B29" s="45" t="b" cm="1">
        <f t="array" ref="B29">_xlfn.LET(
  _xlpm.ids, VALUE(_xlfn.TEXTSPLIT(SUBSTITUTE(A29,",",";"),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9" s="45" t="s">
        <v>96</v>
      </c>
      <c r="D29" s="8"/>
      <c r="E29" s="8" t="s">
        <v>481</v>
      </c>
      <c r="F29" s="8"/>
      <c r="G29" s="8" t="s">
        <v>115</v>
      </c>
      <c r="H29" s="8"/>
      <c r="I29" s="8"/>
      <c r="J29" s="8" t="s">
        <v>489</v>
      </c>
      <c r="K29" s="8" t="s">
        <v>134</v>
      </c>
      <c r="L29" s="8"/>
      <c r="M29" s="8"/>
    </row>
    <row r="30" spans="1:13" ht="15" customHeight="1" x14ac:dyDescent="0.25">
      <c r="A30" s="45">
        <v>26</v>
      </c>
      <c r="B30" s="45" t="b" cm="1">
        <f t="array" ref="B30">_xlfn.LET(
  _xlpm.ids, VALUE(_xlfn.TEXTSPLIT(SUBSTITUTE(A30,",",";"),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0" s="45" t="s">
        <v>96</v>
      </c>
      <c r="D30" s="8"/>
      <c r="E30" s="8"/>
      <c r="F30" s="8"/>
      <c r="G30" s="8" t="s">
        <v>115</v>
      </c>
      <c r="H30" s="8"/>
      <c r="I30" s="8"/>
      <c r="J30" s="8" t="s">
        <v>133</v>
      </c>
      <c r="K30" s="8" t="s">
        <v>134</v>
      </c>
      <c r="L30" s="8"/>
      <c r="M30" s="8"/>
    </row>
    <row r="31" spans="1:13" ht="15" customHeight="1" x14ac:dyDescent="0.25">
      <c r="A31" s="47">
        <v>31</v>
      </c>
      <c r="B31" s="47" t="b" cm="1">
        <f t="array" ref="B31">_xlfn.LET(
  _xlpm.ids, VALUE(_xlfn.TEXTSPLIT(SUBSTITUTE(A31,",",";"),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1" s="47" t="s">
        <v>96</v>
      </c>
      <c r="D31" s="22"/>
      <c r="E31" s="22"/>
      <c r="F31" s="22"/>
      <c r="G31" s="22"/>
      <c r="H31" s="22"/>
      <c r="I31" s="22"/>
      <c r="J31" s="21" t="s">
        <v>131</v>
      </c>
      <c r="K31" s="21" t="s">
        <v>129</v>
      </c>
      <c r="L31" s="23"/>
      <c r="M31" s="21"/>
    </row>
    <row r="32" spans="1:13" ht="15" customHeight="1" x14ac:dyDescent="0.25">
      <c r="A32" s="45">
        <v>31</v>
      </c>
      <c r="B32" s="45" t="b" cm="1">
        <f t="array" ref="B32">_xlfn.LET(
  _xlpm.ids, VALUE(_xlfn.TEXTSPLIT(SUBSTITUTE(A32,",",";"),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2" s="45" t="s">
        <v>96</v>
      </c>
      <c r="D32" s="8"/>
      <c r="E32" s="18" t="s">
        <v>481</v>
      </c>
      <c r="F32" s="18"/>
      <c r="G32" s="18" t="s">
        <v>115</v>
      </c>
      <c r="H32" s="18"/>
      <c r="I32" s="18"/>
      <c r="J32" s="8" t="s">
        <v>487</v>
      </c>
      <c r="K32" s="8" t="s">
        <v>129</v>
      </c>
      <c r="L32" s="19"/>
      <c r="M32" s="8"/>
    </row>
    <row r="33" spans="1:13" ht="15" customHeight="1" x14ac:dyDescent="0.25">
      <c r="A33" s="47">
        <v>31</v>
      </c>
      <c r="B33" s="47" t="b" cm="1">
        <f t="array" ref="B33">_xlfn.LET(
  _xlpm.ids, VALUE(_xlfn.TEXTSPLIT(SUBSTITUTE(A33,",",";"),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3" s="47" t="s">
        <v>96</v>
      </c>
      <c r="D33" s="22"/>
      <c r="E33" s="22"/>
      <c r="F33" s="22"/>
      <c r="G33" s="22"/>
      <c r="H33" s="22"/>
      <c r="I33" s="22"/>
      <c r="J33" s="21" t="s">
        <v>132</v>
      </c>
      <c r="K33" s="21" t="s">
        <v>129</v>
      </c>
      <c r="L33" s="23"/>
      <c r="M33" s="21" t="s">
        <v>130</v>
      </c>
    </row>
    <row r="34" spans="1:13" ht="15" customHeight="1" x14ac:dyDescent="0.25">
      <c r="A34" s="47">
        <v>31</v>
      </c>
      <c r="B34" s="47" t="b" cm="1">
        <f t="array" ref="B34">_xlfn.LET(
  _xlpm.ids, VALUE(_xlfn.TEXTSPLIT(SUBSTITUTE(A34,",",";"),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4" s="47" t="s">
        <v>96</v>
      </c>
      <c r="D34" s="22"/>
      <c r="E34" s="22"/>
      <c r="F34" s="22"/>
      <c r="G34" s="22"/>
      <c r="H34" s="22"/>
      <c r="I34" s="22"/>
      <c r="J34" s="21" t="s">
        <v>128</v>
      </c>
      <c r="K34" s="21" t="s">
        <v>129</v>
      </c>
      <c r="L34" s="23"/>
      <c r="M34" s="21" t="s">
        <v>130</v>
      </c>
    </row>
    <row r="35" spans="1:13" ht="15" customHeight="1" x14ac:dyDescent="0.25">
      <c r="A35" s="45">
        <v>31</v>
      </c>
      <c r="B35" s="45" t="b" cm="1">
        <f t="array" ref="B35">_xlfn.LET(
  _xlpm.ids, VALUE(_xlfn.TEXTSPLIT(SUBSTITUTE(A35,",",";"),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5" s="45" t="s">
        <v>96</v>
      </c>
      <c r="D35" s="16"/>
      <c r="E35" s="24" t="s">
        <v>668</v>
      </c>
      <c r="F35" s="24"/>
      <c r="G35" s="16" t="s">
        <v>115</v>
      </c>
      <c r="H35" s="16"/>
      <c r="I35" s="16"/>
      <c r="J35" s="8" t="s">
        <v>678</v>
      </c>
      <c r="K35" s="8" t="s">
        <v>129</v>
      </c>
      <c r="L35" s="19"/>
      <c r="M35" s="8"/>
    </row>
    <row r="36" spans="1:13" ht="15" customHeight="1" x14ac:dyDescent="0.25">
      <c r="A36" s="45">
        <v>31</v>
      </c>
      <c r="B36" s="45" t="b" cm="1">
        <f t="array" ref="B36">_xlfn.LET(
  _xlpm.ids, VALUE(_xlfn.TEXTSPLIT(SUBSTITUTE(A36,",",";"),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6" s="45" t="s">
        <v>96</v>
      </c>
      <c r="D36" s="16"/>
      <c r="E36" s="24" t="s">
        <v>668</v>
      </c>
      <c r="F36" s="24"/>
      <c r="G36" s="16" t="s">
        <v>115</v>
      </c>
      <c r="H36" s="16"/>
      <c r="I36" s="16"/>
      <c r="J36" s="8" t="s">
        <v>680</v>
      </c>
      <c r="K36" s="8" t="s">
        <v>129</v>
      </c>
      <c r="L36" s="19" t="s">
        <v>1242</v>
      </c>
      <c r="M36" s="8"/>
    </row>
    <row r="37" spans="1:13" ht="15" customHeight="1" x14ac:dyDescent="0.25">
      <c r="A37" s="45">
        <v>31</v>
      </c>
      <c r="B37" s="45" t="b" cm="1">
        <f t="array" ref="B37">_xlfn.LET(
  _xlpm.ids, VALUE(_xlfn.TEXTSPLIT(SUBSTITUTE(A37,",",";"),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7" s="45" t="s">
        <v>96</v>
      </c>
      <c r="D37" s="16"/>
      <c r="E37" s="24" t="s">
        <v>668</v>
      </c>
      <c r="F37" s="24"/>
      <c r="G37" s="16" t="s">
        <v>115</v>
      </c>
      <c r="H37" s="16"/>
      <c r="I37" s="16"/>
      <c r="J37" s="8" t="s">
        <v>679</v>
      </c>
      <c r="K37" s="8" t="s">
        <v>129</v>
      </c>
      <c r="L37" s="19"/>
      <c r="M37" s="8"/>
    </row>
  </sheetData>
  <autoFilter ref="A1:M37" xr:uid="{57E628F5-44AF-7343-8FE6-76A72A2356E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E9508-6BF6-8C4A-AE79-012673B93BD7}">
  <dimension ref="A1:Q109"/>
  <sheetViews>
    <sheetView workbookViewId="0">
      <pane ySplit="1" topLeftCell="A2" activePane="bottomLeft" state="frozen"/>
      <selection activeCell="D5" sqref="D5"/>
      <selection pane="bottomLeft" activeCell="D5" sqref="D5"/>
    </sheetView>
  </sheetViews>
  <sheetFormatPr defaultColWidth="11" defaultRowHeight="15" customHeight="1" x14ac:dyDescent="0.25"/>
  <cols>
    <col min="1" max="1" width="9.875" style="48" customWidth="1"/>
    <col min="2" max="2" width="10.125" style="48" customWidth="1"/>
    <col min="3" max="4" width="20" style="14" customWidth="1"/>
    <col min="5" max="17" width="18.375" style="14" customWidth="1"/>
    <col min="18" max="16384" width="11" style="14"/>
  </cols>
  <sheetData>
    <row r="1" spans="1:17" ht="39.75" customHeight="1" x14ac:dyDescent="0.25">
      <c r="A1" s="43" t="s">
        <v>0</v>
      </c>
      <c r="B1" s="43" t="s">
        <v>1160</v>
      </c>
      <c r="C1" s="1" t="s">
        <v>78</v>
      </c>
      <c r="D1" s="1" t="s">
        <v>79</v>
      </c>
      <c r="E1" s="1" t="s">
        <v>80</v>
      </c>
      <c r="F1" s="1" t="s">
        <v>81</v>
      </c>
      <c r="G1" s="1" t="s">
        <v>82</v>
      </c>
      <c r="H1" s="1" t="s">
        <v>1167</v>
      </c>
      <c r="I1" s="1" t="s">
        <v>77</v>
      </c>
      <c r="J1" s="1" t="s">
        <v>84</v>
      </c>
      <c r="K1" s="1" t="s">
        <v>88</v>
      </c>
      <c r="L1" s="1" t="s">
        <v>5</v>
      </c>
      <c r="M1" s="1" t="s">
        <v>1167</v>
      </c>
      <c r="N1" s="1" t="s">
        <v>1163</v>
      </c>
      <c r="O1" s="1" t="s">
        <v>1161</v>
      </c>
      <c r="P1" s="1" t="s">
        <v>1162</v>
      </c>
      <c r="Q1" s="1" t="s">
        <v>86</v>
      </c>
    </row>
    <row r="2" spans="1:17" ht="15" customHeight="1" x14ac:dyDescent="0.25">
      <c r="A2" s="44">
        <v>21</v>
      </c>
      <c r="B2" s="44" t="b" cm="1">
        <f t="array" ref="B2">_xlfn.LET(
  _xlpm.ids, VALUE(_xlfn.TEXTSPLIT(SUBSTITUTE(A2,",",";"),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 s="10" t="s">
        <v>97</v>
      </c>
      <c r="D2" s="10" t="s">
        <v>293</v>
      </c>
      <c r="E2" s="10" t="s">
        <v>273</v>
      </c>
      <c r="F2" s="4"/>
      <c r="G2" s="10" t="s">
        <v>275</v>
      </c>
      <c r="H2" s="4"/>
      <c r="I2" s="10"/>
      <c r="J2" s="4" t="s">
        <v>286</v>
      </c>
      <c r="K2" s="4" t="s">
        <v>107</v>
      </c>
      <c r="M2" s="10"/>
      <c r="N2" s="10"/>
      <c r="O2" s="10"/>
    </row>
    <row r="3" spans="1:17" ht="15" customHeight="1" x14ac:dyDescent="0.25">
      <c r="A3" s="44">
        <v>22</v>
      </c>
      <c r="B3" s="44" t="b" cm="1">
        <f t="array" ref="B3">_xlfn.LET(
  _xlpm.ids, VALUE(_xlfn.TEXTSPLIT(SUBSTITUTE(A3,",",";"),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 s="10" t="s">
        <v>97</v>
      </c>
      <c r="D3" s="10" t="s">
        <v>274</v>
      </c>
      <c r="E3" s="10" t="s">
        <v>273</v>
      </c>
      <c r="F3" s="4"/>
      <c r="G3" s="10" t="s">
        <v>275</v>
      </c>
      <c r="H3" s="4"/>
      <c r="I3" s="10"/>
      <c r="J3" s="4" t="s">
        <v>276</v>
      </c>
      <c r="K3" s="4" t="s">
        <v>112</v>
      </c>
      <c r="M3" s="10"/>
      <c r="N3" s="10"/>
      <c r="O3" s="10"/>
    </row>
    <row r="4" spans="1:17" ht="15" customHeight="1" x14ac:dyDescent="0.25">
      <c r="A4" s="45" t="s">
        <v>220</v>
      </c>
      <c r="B4" s="45" t="b" cm="1">
        <f t="array" ref="B4">_xlfn.LET(
  _xlpm.ids, VALUE(_xlfn.TEXTSPLIT(SUBSTITUTE(A4,",",";"),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 s="8" t="s">
        <v>97</v>
      </c>
      <c r="D4" s="8" t="s">
        <v>1243</v>
      </c>
      <c r="E4" s="8" t="s">
        <v>424</v>
      </c>
      <c r="F4" s="8"/>
      <c r="G4" s="8" t="s">
        <v>275</v>
      </c>
      <c r="H4" s="8"/>
      <c r="I4" s="8"/>
      <c r="J4" s="8" t="s">
        <v>830</v>
      </c>
      <c r="K4" s="8" t="s">
        <v>831</v>
      </c>
      <c r="M4" s="8"/>
      <c r="N4" s="8"/>
      <c r="O4" s="8"/>
    </row>
    <row r="5" spans="1:17" ht="15" customHeight="1" x14ac:dyDescent="0.25">
      <c r="A5" s="45">
        <v>27</v>
      </c>
      <c r="B5" s="45" t="b" cm="1">
        <f t="array" ref="B5">_xlfn.LET(
  _xlpm.ids, VALUE(_xlfn.TEXTSPLIT(SUBSTITUTE(A5,",",";"),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 s="8" t="s">
        <v>97</v>
      </c>
      <c r="D5" s="8" t="s">
        <v>293</v>
      </c>
      <c r="E5" s="8" t="s">
        <v>1244</v>
      </c>
      <c r="F5" s="8"/>
      <c r="G5" s="8" t="s">
        <v>275</v>
      </c>
      <c r="H5" s="8"/>
      <c r="I5" s="8"/>
      <c r="J5" s="8" t="s">
        <v>294</v>
      </c>
      <c r="K5" s="8"/>
      <c r="M5" s="8"/>
      <c r="N5" s="8"/>
      <c r="O5" s="8"/>
    </row>
    <row r="6" spans="1:17" ht="15" customHeight="1" x14ac:dyDescent="0.25">
      <c r="A6" s="44">
        <v>22</v>
      </c>
      <c r="B6" s="44" t="b" cm="1">
        <f t="array" ref="B6">_xlfn.LET(
  _xlpm.ids, VALUE(_xlfn.TEXTSPLIT(SUBSTITUTE(A6,",",";"),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 s="10" t="s">
        <v>97</v>
      </c>
      <c r="D6" s="10" t="s">
        <v>1245</v>
      </c>
      <c r="E6" s="10" t="s">
        <v>272</v>
      </c>
      <c r="F6" s="4"/>
      <c r="G6" s="10" t="s">
        <v>275</v>
      </c>
      <c r="H6" s="4"/>
      <c r="I6" s="10"/>
      <c r="J6" s="4" t="s">
        <v>353</v>
      </c>
      <c r="K6" s="4" t="s">
        <v>112</v>
      </c>
      <c r="M6" s="10"/>
      <c r="N6" s="10"/>
      <c r="O6" s="10"/>
    </row>
    <row r="7" spans="1:17" ht="15" customHeight="1" x14ac:dyDescent="0.25">
      <c r="A7" s="44">
        <v>15</v>
      </c>
      <c r="B7" s="44" t="b" cm="1">
        <f t="array" ref="B7">_xlfn.LET(
  _xlpm.ids, VALUE(_xlfn.TEXTSPLIT(SUBSTITUTE(A7,",",";"),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 s="10" t="s">
        <v>97</v>
      </c>
      <c r="D7" s="10" t="s">
        <v>1245</v>
      </c>
      <c r="E7" s="10" t="s">
        <v>272</v>
      </c>
      <c r="F7" s="4"/>
      <c r="G7" s="10" t="s">
        <v>275</v>
      </c>
      <c r="H7" s="4"/>
      <c r="I7" s="10"/>
      <c r="J7" s="4" t="s">
        <v>348</v>
      </c>
      <c r="K7" s="4" t="s">
        <v>153</v>
      </c>
      <c r="M7" s="10"/>
      <c r="N7" s="10"/>
      <c r="O7" s="10"/>
    </row>
    <row r="8" spans="1:17" ht="15" customHeight="1" x14ac:dyDescent="0.25">
      <c r="A8" s="44">
        <v>7</v>
      </c>
      <c r="B8" s="44" t="b" cm="1">
        <f t="array" ref="B8">_xlfn.LET(
  _xlpm.ids, VALUE(_xlfn.TEXTSPLIT(SUBSTITUTE(A8,",",";"),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8" s="10" t="s">
        <v>97</v>
      </c>
      <c r="D8" s="10" t="s">
        <v>1246</v>
      </c>
      <c r="E8" s="10" t="s">
        <v>172</v>
      </c>
      <c r="F8" s="4"/>
      <c r="G8" s="10" t="s">
        <v>285</v>
      </c>
      <c r="H8" s="4"/>
      <c r="I8" s="10"/>
      <c r="J8" s="4" t="s">
        <v>465</v>
      </c>
      <c r="K8" s="4" t="s">
        <v>153</v>
      </c>
      <c r="M8" s="10"/>
      <c r="N8" s="10"/>
      <c r="O8" s="10"/>
    </row>
    <row r="9" spans="1:17" ht="15" customHeight="1" x14ac:dyDescent="0.25">
      <c r="A9" s="44">
        <v>9</v>
      </c>
      <c r="B9" s="44" t="b" cm="1">
        <f t="array" ref="B9">_xlfn.LET(
  _xlpm.ids, VALUE(_xlfn.TEXTSPLIT(SUBSTITUTE(A9,",",";"),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9" s="10" t="s">
        <v>97</v>
      </c>
      <c r="D9" s="10" t="s">
        <v>293</v>
      </c>
      <c r="E9" s="10" t="s">
        <v>1244</v>
      </c>
      <c r="F9" s="4"/>
      <c r="G9" s="10" t="s">
        <v>285</v>
      </c>
      <c r="H9" s="4"/>
      <c r="I9" s="10"/>
      <c r="J9" s="4" t="s">
        <v>287</v>
      </c>
      <c r="K9" s="4" t="s">
        <v>112</v>
      </c>
      <c r="M9" s="10"/>
      <c r="N9" s="10"/>
      <c r="O9" s="10"/>
    </row>
    <row r="10" spans="1:17" ht="15" customHeight="1" x14ac:dyDescent="0.25">
      <c r="A10" s="44">
        <v>7</v>
      </c>
      <c r="B10" s="44" t="b" cm="1">
        <f t="array" ref="B10">_xlfn.LET(
  _xlpm.ids, VALUE(_xlfn.TEXTSPLIT(SUBSTITUTE(A10,",",";"),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0" s="10" t="s">
        <v>97</v>
      </c>
      <c r="D10" s="8" t="s">
        <v>1245</v>
      </c>
      <c r="E10" s="10" t="s">
        <v>272</v>
      </c>
      <c r="F10" s="4"/>
      <c r="G10" s="10" t="s">
        <v>285</v>
      </c>
      <c r="H10" s="4"/>
      <c r="I10" s="10"/>
      <c r="J10" s="4" t="s">
        <v>341</v>
      </c>
      <c r="K10" s="4" t="s">
        <v>153</v>
      </c>
      <c r="M10" s="10"/>
      <c r="N10" s="10"/>
      <c r="O10" s="10"/>
    </row>
    <row r="11" spans="1:17" ht="15" customHeight="1" x14ac:dyDescent="0.25">
      <c r="A11" s="45">
        <v>5</v>
      </c>
      <c r="B11" s="45" t="b" cm="1">
        <f t="array" ref="B11">_xlfn.LET(
  _xlpm.ids, VALUE(_xlfn.TEXTSPLIT(SUBSTITUTE(A11,",",";"),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 s="10" t="s">
        <v>97</v>
      </c>
      <c r="D11" s="8" t="s">
        <v>1243</v>
      </c>
      <c r="E11" s="8" t="s">
        <v>424</v>
      </c>
      <c r="F11" s="4"/>
      <c r="G11" s="8" t="s">
        <v>124</v>
      </c>
      <c r="H11" s="4"/>
      <c r="I11" s="8"/>
      <c r="J11" s="4" t="s">
        <v>819</v>
      </c>
      <c r="K11" s="4" t="s">
        <v>157</v>
      </c>
      <c r="M11" s="8"/>
      <c r="N11" s="8"/>
      <c r="O11" s="8"/>
    </row>
    <row r="12" spans="1:17" ht="15" customHeight="1" x14ac:dyDescent="0.25">
      <c r="A12" s="45">
        <v>5</v>
      </c>
      <c r="B12" s="45" t="b" cm="1">
        <f t="array" ref="B12">_xlfn.LET(
  _xlpm.ids, VALUE(_xlfn.TEXTSPLIT(SUBSTITUTE(A12,",",";"),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2" s="10" t="s">
        <v>97</v>
      </c>
      <c r="D12" s="8" t="s">
        <v>1246</v>
      </c>
      <c r="E12" s="10" t="s">
        <v>172</v>
      </c>
      <c r="F12" s="4"/>
      <c r="G12" s="8" t="s">
        <v>124</v>
      </c>
      <c r="H12" s="4"/>
      <c r="I12" s="8"/>
      <c r="J12" s="4" t="s">
        <v>457</v>
      </c>
      <c r="K12" s="4" t="s">
        <v>157</v>
      </c>
      <c r="M12" s="8"/>
      <c r="N12" s="8"/>
      <c r="O12" s="8"/>
    </row>
    <row r="13" spans="1:17" ht="15" customHeight="1" x14ac:dyDescent="0.25">
      <c r="A13" s="45">
        <v>5</v>
      </c>
      <c r="B13" s="45" t="b" cm="1">
        <f t="array" ref="B13">_xlfn.LET(
  _xlpm.ids, VALUE(_xlfn.TEXTSPLIT(SUBSTITUTE(A13,",",";"),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 s="10" t="s">
        <v>97</v>
      </c>
      <c r="D13" s="8" t="s">
        <v>1246</v>
      </c>
      <c r="E13" s="10" t="s">
        <v>172</v>
      </c>
      <c r="F13" s="4"/>
      <c r="G13" s="8" t="s">
        <v>124</v>
      </c>
      <c r="H13" s="4"/>
      <c r="I13" s="8"/>
      <c r="J13" s="4" t="s">
        <v>462</v>
      </c>
      <c r="K13" s="4" t="s">
        <v>157</v>
      </c>
      <c r="M13" s="8"/>
      <c r="N13" s="8"/>
      <c r="O13" s="8"/>
    </row>
    <row r="14" spans="1:17" ht="15" customHeight="1" x14ac:dyDescent="0.25">
      <c r="A14" s="45">
        <v>5</v>
      </c>
      <c r="B14" s="45" t="b" cm="1">
        <f t="array" ref="B14">_xlfn.LET(
  _xlpm.ids, VALUE(_xlfn.TEXTSPLIT(SUBSTITUTE(A14,",",";"),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 s="10" t="s">
        <v>97</v>
      </c>
      <c r="D14" s="8" t="s">
        <v>1246</v>
      </c>
      <c r="E14" s="10" t="s">
        <v>172</v>
      </c>
      <c r="F14" s="4"/>
      <c r="G14" s="8" t="s">
        <v>124</v>
      </c>
      <c r="H14" s="4"/>
      <c r="I14" s="8"/>
      <c r="J14" s="4" t="s">
        <v>467</v>
      </c>
      <c r="K14" s="4" t="s">
        <v>157</v>
      </c>
      <c r="M14" s="8"/>
      <c r="N14" s="8"/>
      <c r="O14" s="8"/>
    </row>
    <row r="15" spans="1:17" ht="15" customHeight="1" x14ac:dyDescent="0.25">
      <c r="A15" s="45">
        <v>17</v>
      </c>
      <c r="B15" s="45" t="b" cm="1">
        <f t="array" ref="B15">_xlfn.LET(
  _xlpm.ids, VALUE(_xlfn.TEXTSPLIT(SUBSTITUTE(A15,",",";"),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 s="10" t="s">
        <v>97</v>
      </c>
      <c r="D15" s="8" t="s">
        <v>1246</v>
      </c>
      <c r="E15" s="10" t="s">
        <v>172</v>
      </c>
      <c r="F15" s="4"/>
      <c r="G15" s="8" t="s">
        <v>124</v>
      </c>
      <c r="H15" s="4"/>
      <c r="I15" s="8"/>
      <c r="J15" s="4" t="s">
        <v>458</v>
      </c>
      <c r="K15" s="4" t="s">
        <v>188</v>
      </c>
      <c r="M15" s="8"/>
      <c r="N15" s="8"/>
      <c r="O15" s="8"/>
    </row>
    <row r="16" spans="1:17" ht="15" customHeight="1" x14ac:dyDescent="0.25">
      <c r="A16" s="45">
        <v>17</v>
      </c>
      <c r="B16" s="45" t="b" cm="1">
        <f t="array" ref="B16">_xlfn.LET(
  _xlpm.ids, VALUE(_xlfn.TEXTSPLIT(SUBSTITUTE(A16,",",";"),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6" s="10" t="s">
        <v>97</v>
      </c>
      <c r="D16" s="8" t="s">
        <v>1247</v>
      </c>
      <c r="E16" s="10" t="s">
        <v>272</v>
      </c>
      <c r="F16" s="4"/>
      <c r="G16" s="8" t="s">
        <v>124</v>
      </c>
      <c r="H16" s="4"/>
      <c r="I16" s="8"/>
      <c r="J16" s="4" t="s">
        <v>328</v>
      </c>
      <c r="K16" s="4" t="s">
        <v>188</v>
      </c>
      <c r="M16" s="8"/>
      <c r="N16" s="8"/>
      <c r="O16" s="8"/>
    </row>
    <row r="17" spans="1:15" ht="15" customHeight="1" x14ac:dyDescent="0.25">
      <c r="A17" s="45">
        <v>5</v>
      </c>
      <c r="B17" s="45" t="b" cm="1">
        <f t="array" ref="B17">_xlfn.LET(
  _xlpm.ids, VALUE(_xlfn.TEXTSPLIT(SUBSTITUTE(A17,",",";"),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7" s="10" t="s">
        <v>97</v>
      </c>
      <c r="D17" s="8" t="s">
        <v>1243</v>
      </c>
      <c r="E17" s="8" t="s">
        <v>424</v>
      </c>
      <c r="F17" s="4"/>
      <c r="G17" s="8" t="s">
        <v>124</v>
      </c>
      <c r="H17" s="4"/>
      <c r="I17" s="8"/>
      <c r="J17" s="4" t="s">
        <v>829</v>
      </c>
      <c r="K17" s="4" t="s">
        <v>157</v>
      </c>
      <c r="M17" s="8"/>
      <c r="N17" s="8"/>
      <c r="O17" s="8"/>
    </row>
    <row r="18" spans="1:15" ht="15" customHeight="1" x14ac:dyDescent="0.25">
      <c r="A18" s="45">
        <v>5</v>
      </c>
      <c r="B18" s="45" t="b" cm="1">
        <f t="array" ref="B18">_xlfn.LET(
  _xlpm.ids, VALUE(_xlfn.TEXTSPLIT(SUBSTITUTE(A18,",",";"),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8" s="10" t="s">
        <v>97</v>
      </c>
      <c r="D18" s="8" t="s">
        <v>1243</v>
      </c>
      <c r="E18" s="8" t="s">
        <v>424</v>
      </c>
      <c r="F18" s="4"/>
      <c r="G18" s="8" t="s">
        <v>124</v>
      </c>
      <c r="H18" s="4"/>
      <c r="I18" s="8"/>
      <c r="J18" s="4" t="s">
        <v>840</v>
      </c>
      <c r="K18" s="4" t="s">
        <v>157</v>
      </c>
      <c r="M18" s="8"/>
      <c r="N18" s="8"/>
      <c r="O18" s="8"/>
    </row>
    <row r="19" spans="1:15" ht="15" customHeight="1" x14ac:dyDescent="0.25">
      <c r="A19" s="55">
        <v>12</v>
      </c>
      <c r="B19" s="55" t="b" cm="1">
        <f t="array" ref="B19">_xlfn.LET(
  _xlpm.ids, VALUE(_xlfn.TEXTSPLIT(SUBSTITUTE(A19,",",";"),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9" s="10" t="s">
        <v>97</v>
      </c>
      <c r="D19" s="15" t="s">
        <v>1245</v>
      </c>
      <c r="E19" s="10" t="s">
        <v>272</v>
      </c>
      <c r="F19" s="15"/>
      <c r="G19" s="15" t="s">
        <v>169</v>
      </c>
      <c r="H19" s="15"/>
      <c r="I19" s="15"/>
      <c r="J19" s="15" t="s">
        <v>331</v>
      </c>
      <c r="K19" s="15" t="s">
        <v>202</v>
      </c>
      <c r="M19" s="15"/>
      <c r="N19" s="15"/>
      <c r="O19" s="15"/>
    </row>
    <row r="20" spans="1:15" ht="15" customHeight="1" x14ac:dyDescent="0.25">
      <c r="A20" s="55">
        <v>16</v>
      </c>
      <c r="B20" s="55" t="b" cm="1">
        <f t="array" ref="B20">_xlfn.LET(
  _xlpm.ids, VALUE(_xlfn.TEXTSPLIT(SUBSTITUTE(A20,",",";"),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0" s="10" t="s">
        <v>97</v>
      </c>
      <c r="D20" s="15" t="s">
        <v>1245</v>
      </c>
      <c r="E20" s="10" t="s">
        <v>272</v>
      </c>
      <c r="F20" s="15"/>
      <c r="G20" s="15" t="s">
        <v>169</v>
      </c>
      <c r="H20" s="15"/>
      <c r="I20" s="15"/>
      <c r="J20" s="15" t="s">
        <v>358</v>
      </c>
      <c r="K20" s="15" t="s">
        <v>244</v>
      </c>
      <c r="M20" s="15"/>
      <c r="N20" s="15"/>
      <c r="O20" s="15"/>
    </row>
    <row r="21" spans="1:15" ht="15" customHeight="1" x14ac:dyDescent="0.25">
      <c r="A21" s="55">
        <v>10</v>
      </c>
      <c r="B21" s="55" t="b" cm="1">
        <f t="array" ref="B21">_xlfn.LET(
  _xlpm.ids, VALUE(_xlfn.TEXTSPLIT(SUBSTITUTE(A21,",",";"),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1" s="10" t="s">
        <v>97</v>
      </c>
      <c r="D21" s="15" t="s">
        <v>1245</v>
      </c>
      <c r="E21" s="10" t="s">
        <v>272</v>
      </c>
      <c r="F21" s="15"/>
      <c r="G21" s="15" t="s">
        <v>169</v>
      </c>
      <c r="H21" s="15"/>
      <c r="I21" s="15"/>
      <c r="J21" s="15" t="s">
        <v>362</v>
      </c>
      <c r="K21" s="15" t="s">
        <v>148</v>
      </c>
      <c r="M21" s="15"/>
      <c r="N21" s="15"/>
      <c r="O21" s="15"/>
    </row>
    <row r="22" spans="1:15" ht="15" customHeight="1" x14ac:dyDescent="0.25">
      <c r="A22" s="55">
        <v>11</v>
      </c>
      <c r="B22" s="55" t="b" cm="1">
        <f t="array" ref="B22">_xlfn.LET(
  _xlpm.ids, VALUE(_xlfn.TEXTSPLIT(SUBSTITUTE(A22,",",";"),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2" s="10" t="s">
        <v>97</v>
      </c>
      <c r="D22" s="15" t="s">
        <v>1245</v>
      </c>
      <c r="E22" s="10" t="s">
        <v>272</v>
      </c>
      <c r="F22" s="15"/>
      <c r="G22" s="15" t="s">
        <v>169</v>
      </c>
      <c r="H22" s="15"/>
      <c r="I22" s="15"/>
      <c r="J22" s="15" t="s">
        <v>1248</v>
      </c>
      <c r="K22" s="15" t="s">
        <v>313</v>
      </c>
      <c r="M22" s="15"/>
      <c r="N22" s="15"/>
      <c r="O22" s="15"/>
    </row>
    <row r="23" spans="1:15" ht="15" customHeight="1" x14ac:dyDescent="0.25">
      <c r="A23" s="55">
        <v>11</v>
      </c>
      <c r="B23" s="55" t="b" cm="1">
        <f t="array" ref="B23">_xlfn.LET(
  _xlpm.ids, VALUE(_xlfn.TEXTSPLIT(SUBSTITUTE(A23,",",";"),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3" s="10" t="s">
        <v>97</v>
      </c>
      <c r="D23" s="15" t="s">
        <v>1245</v>
      </c>
      <c r="E23" s="10" t="s">
        <v>272</v>
      </c>
      <c r="F23" s="15"/>
      <c r="G23" s="15" t="s">
        <v>169</v>
      </c>
      <c r="H23" s="15"/>
      <c r="I23" s="15"/>
      <c r="J23" s="15" t="s">
        <v>1248</v>
      </c>
      <c r="K23" s="15" t="s">
        <v>313</v>
      </c>
      <c r="M23" s="15"/>
      <c r="N23" s="15"/>
      <c r="O23" s="15"/>
    </row>
    <row r="24" spans="1:15" ht="15" customHeight="1" x14ac:dyDescent="0.25">
      <c r="A24" s="55">
        <v>11</v>
      </c>
      <c r="B24" s="55" t="b" cm="1">
        <f t="array" ref="B24">_xlfn.LET(
  _xlpm.ids, VALUE(_xlfn.TEXTSPLIT(SUBSTITUTE(A24,",",";"),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4" s="10" t="s">
        <v>97</v>
      </c>
      <c r="D24" s="15" t="s">
        <v>1245</v>
      </c>
      <c r="E24" s="10" t="s">
        <v>272</v>
      </c>
      <c r="F24" s="15"/>
      <c r="G24" s="15" t="s">
        <v>169</v>
      </c>
      <c r="H24" s="15"/>
      <c r="I24" s="15"/>
      <c r="J24" s="15" t="s">
        <v>1248</v>
      </c>
      <c r="K24" s="15" t="s">
        <v>313</v>
      </c>
      <c r="M24" s="15"/>
      <c r="N24" s="15"/>
      <c r="O24" s="15"/>
    </row>
    <row r="25" spans="1:15" ht="15" customHeight="1" x14ac:dyDescent="0.25">
      <c r="A25" s="55">
        <v>11</v>
      </c>
      <c r="B25" s="55" t="b" cm="1">
        <f t="array" ref="B25">_xlfn.LET(
  _xlpm.ids, VALUE(_xlfn.TEXTSPLIT(SUBSTITUTE(A25,",",";"),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5" s="10" t="s">
        <v>97</v>
      </c>
      <c r="D25" s="15" t="s">
        <v>1245</v>
      </c>
      <c r="E25" s="10" t="s">
        <v>272</v>
      </c>
      <c r="F25" s="15"/>
      <c r="G25" s="15" t="s">
        <v>169</v>
      </c>
      <c r="H25" s="15"/>
      <c r="I25" s="15"/>
      <c r="J25" s="15" t="s">
        <v>1248</v>
      </c>
      <c r="K25" s="15" t="s">
        <v>313</v>
      </c>
      <c r="M25" s="15"/>
      <c r="N25" s="15"/>
      <c r="O25" s="15"/>
    </row>
    <row r="26" spans="1:15" ht="15" customHeight="1" x14ac:dyDescent="0.25">
      <c r="A26" s="55">
        <v>11</v>
      </c>
      <c r="B26" s="55" t="b" cm="1">
        <f t="array" ref="B26">_xlfn.LET(
  _xlpm.ids, VALUE(_xlfn.TEXTSPLIT(SUBSTITUTE(A26,",",";"),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6" s="10" t="s">
        <v>97</v>
      </c>
      <c r="D26" s="15" t="s">
        <v>1245</v>
      </c>
      <c r="E26" s="10" t="s">
        <v>272</v>
      </c>
      <c r="F26" s="15"/>
      <c r="G26" s="15" t="s">
        <v>169</v>
      </c>
      <c r="H26" s="15"/>
      <c r="I26" s="15"/>
      <c r="J26" s="15" t="s">
        <v>1248</v>
      </c>
      <c r="K26" s="15" t="s">
        <v>313</v>
      </c>
      <c r="M26" s="15"/>
      <c r="N26" s="15"/>
      <c r="O26" s="15"/>
    </row>
    <row r="27" spans="1:15" ht="15" customHeight="1" x14ac:dyDescent="0.25">
      <c r="A27" s="55">
        <v>11</v>
      </c>
      <c r="B27" s="55" t="b" cm="1">
        <f t="array" ref="B27">_xlfn.LET(
  _xlpm.ids, VALUE(_xlfn.TEXTSPLIT(SUBSTITUTE(A27,",",";"),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7" s="10" t="s">
        <v>97</v>
      </c>
      <c r="D27" s="15" t="s">
        <v>1245</v>
      </c>
      <c r="E27" s="10" t="s">
        <v>272</v>
      </c>
      <c r="F27" s="15"/>
      <c r="G27" s="15" t="s">
        <v>169</v>
      </c>
      <c r="H27" s="15"/>
      <c r="I27" s="15"/>
      <c r="J27" s="15" t="s">
        <v>363</v>
      </c>
      <c r="K27" s="15" t="s">
        <v>313</v>
      </c>
      <c r="M27" s="15"/>
      <c r="N27" s="15"/>
      <c r="O27" s="15"/>
    </row>
    <row r="28" spans="1:15" ht="15" customHeight="1" x14ac:dyDescent="0.25">
      <c r="A28" s="55">
        <v>12</v>
      </c>
      <c r="B28" s="55" t="b" cm="1">
        <f t="array" ref="B28">_xlfn.LET(
  _xlpm.ids, VALUE(_xlfn.TEXTSPLIT(SUBSTITUTE(A28,",",";"),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8" s="10" t="s">
        <v>97</v>
      </c>
      <c r="D28" s="15" t="s">
        <v>1245</v>
      </c>
      <c r="E28" s="10" t="s">
        <v>272</v>
      </c>
      <c r="F28" s="15"/>
      <c r="G28" s="15" t="s">
        <v>169</v>
      </c>
      <c r="H28" s="15"/>
      <c r="I28" s="15"/>
      <c r="J28" s="15" t="s">
        <v>332</v>
      </c>
      <c r="K28" s="15" t="s">
        <v>202</v>
      </c>
      <c r="M28" s="15"/>
      <c r="N28" s="15"/>
      <c r="O28" s="15"/>
    </row>
    <row r="29" spans="1:15" ht="15" customHeight="1" x14ac:dyDescent="0.25">
      <c r="A29" s="55">
        <v>12</v>
      </c>
      <c r="B29" s="55" t="b" cm="1">
        <f t="array" ref="B29">_xlfn.LET(
  _xlpm.ids, VALUE(_xlfn.TEXTSPLIT(SUBSTITUTE(A29,",",";"),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9" s="10" t="s">
        <v>97</v>
      </c>
      <c r="D29" s="15" t="s">
        <v>1245</v>
      </c>
      <c r="E29" s="10" t="s">
        <v>272</v>
      </c>
      <c r="F29" s="15"/>
      <c r="G29" s="15" t="s">
        <v>169</v>
      </c>
      <c r="H29" s="15"/>
      <c r="I29" s="15"/>
      <c r="J29" s="15" t="s">
        <v>333</v>
      </c>
      <c r="K29" s="15" t="s">
        <v>202</v>
      </c>
      <c r="M29" s="15"/>
      <c r="N29" s="15"/>
      <c r="O29" s="15"/>
    </row>
    <row r="30" spans="1:15" ht="15" customHeight="1" x14ac:dyDescent="0.25">
      <c r="A30" s="55">
        <v>16</v>
      </c>
      <c r="B30" s="55" t="b" cm="1">
        <f t="array" ref="B30">_xlfn.LET(
  _xlpm.ids, VALUE(_xlfn.TEXTSPLIT(SUBSTITUTE(A30,",",";"),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0" s="10" t="s">
        <v>97</v>
      </c>
      <c r="D30" s="15" t="s">
        <v>1245</v>
      </c>
      <c r="E30" s="10" t="s">
        <v>272</v>
      </c>
      <c r="F30" s="15"/>
      <c r="G30" s="15" t="s">
        <v>169</v>
      </c>
      <c r="H30" s="15"/>
      <c r="I30" s="15"/>
      <c r="J30" s="15" t="s">
        <v>335</v>
      </c>
      <c r="K30" s="15" t="s">
        <v>244</v>
      </c>
      <c r="M30" s="15"/>
      <c r="N30" s="15"/>
      <c r="O30" s="15"/>
    </row>
    <row r="31" spans="1:15" ht="15" customHeight="1" x14ac:dyDescent="0.25">
      <c r="A31" s="55">
        <v>12</v>
      </c>
      <c r="B31" s="55" t="b" cm="1">
        <f t="array" ref="B31">_xlfn.LET(
  _xlpm.ids, VALUE(_xlfn.TEXTSPLIT(SUBSTITUTE(A31,",",";"),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1" s="10" t="s">
        <v>97</v>
      </c>
      <c r="D31" s="15" t="s">
        <v>1245</v>
      </c>
      <c r="E31" s="10" t="s">
        <v>272</v>
      </c>
      <c r="F31" s="15"/>
      <c r="G31" s="15" t="s">
        <v>169</v>
      </c>
      <c r="H31" s="15"/>
      <c r="I31" s="15"/>
      <c r="J31" s="15" t="s">
        <v>336</v>
      </c>
      <c r="K31" s="15" t="s">
        <v>202</v>
      </c>
      <c r="M31" s="15"/>
      <c r="N31" s="15"/>
      <c r="O31" s="15"/>
    </row>
    <row r="32" spans="1:15" ht="15" customHeight="1" x14ac:dyDescent="0.25">
      <c r="A32" s="45">
        <v>27</v>
      </c>
      <c r="B32" s="45" t="b" cm="1">
        <f t="array" ref="B32">_xlfn.LET(
  _xlpm.ids, VALUE(_xlfn.TEXTSPLIT(SUBSTITUTE(A32,",",";"),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2" s="8" t="s">
        <v>97</v>
      </c>
      <c r="D32" s="8" t="s">
        <v>293</v>
      </c>
      <c r="E32" s="8" t="s">
        <v>273</v>
      </c>
      <c r="F32" s="8"/>
      <c r="G32" s="8" t="s">
        <v>216</v>
      </c>
      <c r="H32" s="8"/>
      <c r="I32" s="8"/>
      <c r="J32" s="8" t="s">
        <v>297</v>
      </c>
      <c r="K32" s="8"/>
      <c r="M32" s="8"/>
      <c r="N32" s="8"/>
      <c r="O32" s="8"/>
    </row>
    <row r="33" spans="1:15" ht="15" customHeight="1" x14ac:dyDescent="0.25">
      <c r="A33" s="44">
        <v>7</v>
      </c>
      <c r="B33" s="44" t="b" cm="1">
        <f t="array" ref="B33">_xlfn.LET(
  _xlpm.ids, VALUE(_xlfn.TEXTSPLIT(SUBSTITUTE(A33,",",";"),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3" s="10" t="s">
        <v>97</v>
      </c>
      <c r="D33" s="8" t="s">
        <v>1245</v>
      </c>
      <c r="E33" s="10" t="s">
        <v>272</v>
      </c>
      <c r="F33" s="4"/>
      <c r="G33" s="10" t="s">
        <v>216</v>
      </c>
      <c r="H33" s="4"/>
      <c r="I33" s="10"/>
      <c r="J33" s="4" t="s">
        <v>586</v>
      </c>
      <c r="K33" s="4" t="s">
        <v>153</v>
      </c>
      <c r="M33" s="10"/>
      <c r="N33" s="10"/>
      <c r="O33" s="10"/>
    </row>
    <row r="34" spans="1:15" ht="15" customHeight="1" x14ac:dyDescent="0.25">
      <c r="A34" s="44">
        <v>7</v>
      </c>
      <c r="B34" s="44" t="b" cm="1">
        <f t="array" ref="B34">_xlfn.LET(
  _xlpm.ids, VALUE(_xlfn.TEXTSPLIT(SUBSTITUTE(A34,",",";"),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4" s="10" t="s">
        <v>97</v>
      </c>
      <c r="D34" s="8" t="s">
        <v>1245</v>
      </c>
      <c r="E34" s="10" t="s">
        <v>272</v>
      </c>
      <c r="F34" s="4"/>
      <c r="G34" s="10" t="s">
        <v>216</v>
      </c>
      <c r="H34" s="4"/>
      <c r="I34" s="10"/>
      <c r="J34" s="4" t="s">
        <v>311</v>
      </c>
      <c r="K34" s="4" t="s">
        <v>153</v>
      </c>
      <c r="M34" s="10"/>
      <c r="N34" s="10"/>
      <c r="O34" s="10"/>
    </row>
    <row r="35" spans="1:15" ht="15" customHeight="1" x14ac:dyDescent="0.25">
      <c r="A35" s="44">
        <v>7</v>
      </c>
      <c r="B35" s="44" t="b" cm="1">
        <f t="array" ref="B35">_xlfn.LET(
  _xlpm.ids, VALUE(_xlfn.TEXTSPLIT(SUBSTITUTE(A35,",",";"),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5" s="10" t="s">
        <v>97</v>
      </c>
      <c r="D35" s="8" t="s">
        <v>1245</v>
      </c>
      <c r="E35" s="10" t="s">
        <v>272</v>
      </c>
      <c r="F35" s="4"/>
      <c r="G35" s="10" t="s">
        <v>216</v>
      </c>
      <c r="H35" s="4"/>
      <c r="I35" s="10"/>
      <c r="J35" s="4" t="s">
        <v>340</v>
      </c>
      <c r="K35" s="4" t="s">
        <v>153</v>
      </c>
      <c r="M35" s="10"/>
      <c r="N35" s="10"/>
      <c r="O35" s="10"/>
    </row>
    <row r="36" spans="1:15" ht="15" customHeight="1" x14ac:dyDescent="0.25">
      <c r="A36" s="44">
        <v>7</v>
      </c>
      <c r="B36" s="44" t="b" cm="1">
        <f t="array" ref="B36">_xlfn.LET(
  _xlpm.ids, VALUE(_xlfn.TEXTSPLIT(SUBSTITUTE(A36,",",";"),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6" s="10" t="s">
        <v>97</v>
      </c>
      <c r="D36" s="8" t="s">
        <v>1245</v>
      </c>
      <c r="E36" s="10" t="s">
        <v>272</v>
      </c>
      <c r="F36" s="4"/>
      <c r="G36" s="10" t="s">
        <v>216</v>
      </c>
      <c r="H36" s="4"/>
      <c r="I36" s="10"/>
      <c r="J36" s="4" t="s">
        <v>338</v>
      </c>
      <c r="K36" s="4" t="s">
        <v>153</v>
      </c>
      <c r="M36" s="10"/>
      <c r="N36" s="10"/>
      <c r="O36" s="10"/>
    </row>
    <row r="37" spans="1:15" ht="15" customHeight="1" x14ac:dyDescent="0.25">
      <c r="A37" s="44">
        <v>6</v>
      </c>
      <c r="B37" s="44" t="b" cm="1">
        <f t="array" ref="B37">_xlfn.LET(
  _xlpm.ids, VALUE(_xlfn.TEXTSPLIT(SUBSTITUTE(A37,",",";"),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7" s="10" t="s">
        <v>97</v>
      </c>
      <c r="D37" s="10" t="s">
        <v>293</v>
      </c>
      <c r="E37" s="10" t="s">
        <v>1244</v>
      </c>
      <c r="F37" s="4"/>
      <c r="G37" s="10" t="s">
        <v>216</v>
      </c>
      <c r="H37" s="4"/>
      <c r="I37" s="10"/>
      <c r="J37" s="4" t="s">
        <v>289</v>
      </c>
      <c r="K37" s="4" t="s">
        <v>119</v>
      </c>
      <c r="M37" s="10"/>
      <c r="N37" s="10"/>
      <c r="O37" s="10"/>
    </row>
    <row r="38" spans="1:15" ht="15" customHeight="1" x14ac:dyDescent="0.25">
      <c r="A38" s="44">
        <v>19</v>
      </c>
      <c r="B38" s="44" t="b" cm="1">
        <f t="array" ref="B38">_xlfn.LET(
  _xlpm.ids, VALUE(_xlfn.TEXTSPLIT(SUBSTITUTE(A38,",",";"),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8" s="10" t="s">
        <v>97</v>
      </c>
      <c r="D38" s="10" t="s">
        <v>1245</v>
      </c>
      <c r="E38" s="10" t="s">
        <v>272</v>
      </c>
      <c r="F38" s="4"/>
      <c r="G38" s="10" t="s">
        <v>216</v>
      </c>
      <c r="H38" s="4"/>
      <c r="I38" s="10"/>
      <c r="J38" s="4" t="s">
        <v>308</v>
      </c>
      <c r="K38" s="4" t="s">
        <v>309</v>
      </c>
      <c r="M38" s="10"/>
      <c r="N38" s="10"/>
      <c r="O38" s="10"/>
    </row>
    <row r="39" spans="1:15" ht="15" customHeight="1" x14ac:dyDescent="0.25">
      <c r="A39" s="44">
        <v>9</v>
      </c>
      <c r="B39" s="44" t="b" cm="1">
        <f t="array" ref="B39">_xlfn.LET(
  _xlpm.ids, VALUE(_xlfn.TEXTSPLIT(SUBSTITUTE(A39,",",";"),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9" s="10" t="s">
        <v>97</v>
      </c>
      <c r="D39" s="10" t="s">
        <v>1245</v>
      </c>
      <c r="E39" s="10" t="s">
        <v>272</v>
      </c>
      <c r="F39" s="4"/>
      <c r="G39" s="10" t="s">
        <v>216</v>
      </c>
      <c r="H39" s="4"/>
      <c r="I39" s="10"/>
      <c r="J39" s="4" t="s">
        <v>342</v>
      </c>
      <c r="K39" s="4" t="s">
        <v>112</v>
      </c>
      <c r="M39" s="10"/>
      <c r="N39" s="10"/>
      <c r="O39" s="10"/>
    </row>
    <row r="40" spans="1:15" ht="15" customHeight="1" x14ac:dyDescent="0.25">
      <c r="A40" s="44">
        <v>15</v>
      </c>
      <c r="B40" s="44" t="b" cm="1">
        <f t="array" ref="B40">_xlfn.LET(
  _xlpm.ids, VALUE(_xlfn.TEXTSPLIT(SUBSTITUTE(A40,",",";"),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0" s="10" t="s">
        <v>97</v>
      </c>
      <c r="D40" s="10" t="s">
        <v>1245</v>
      </c>
      <c r="E40" s="10" t="s">
        <v>272</v>
      </c>
      <c r="F40" s="4"/>
      <c r="G40" s="10" t="s">
        <v>216</v>
      </c>
      <c r="H40" s="4"/>
      <c r="I40" s="10"/>
      <c r="J40" s="4" t="s">
        <v>345</v>
      </c>
      <c r="K40" s="4" t="s">
        <v>153</v>
      </c>
      <c r="M40" s="10"/>
      <c r="N40" s="10"/>
      <c r="O40" s="10"/>
    </row>
    <row r="41" spans="1:15" ht="15" customHeight="1" x14ac:dyDescent="0.25">
      <c r="A41" s="44">
        <v>8</v>
      </c>
      <c r="B41" s="44" t="b" cm="1">
        <f t="array" ref="B41">_xlfn.LET(
  _xlpm.ids, VALUE(_xlfn.TEXTSPLIT(SUBSTITUTE(A41,",",";"),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1" s="10" t="s">
        <v>97</v>
      </c>
      <c r="D41" s="10" t="s">
        <v>293</v>
      </c>
      <c r="E41" s="10" t="s">
        <v>1244</v>
      </c>
      <c r="F41" s="4"/>
      <c r="G41" s="10" t="s">
        <v>216</v>
      </c>
      <c r="H41" s="4"/>
      <c r="I41" s="10"/>
      <c r="J41" s="4" t="s">
        <v>279</v>
      </c>
      <c r="K41" s="4" t="s">
        <v>174</v>
      </c>
      <c r="M41" s="10"/>
      <c r="N41" s="10"/>
      <c r="O41" s="10" t="s">
        <v>280</v>
      </c>
    </row>
    <row r="42" spans="1:15" ht="15" customHeight="1" x14ac:dyDescent="0.25">
      <c r="A42" s="45">
        <v>26</v>
      </c>
      <c r="B42" s="45" t="b" cm="1">
        <f t="array" ref="B42">_xlfn.LET(
  _xlpm.ids, VALUE(_xlfn.TEXTSPLIT(SUBSTITUTE(A42,",",";"),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2" s="8" t="s">
        <v>97</v>
      </c>
      <c r="D42" s="8" t="s">
        <v>1245</v>
      </c>
      <c r="E42" s="8" t="s">
        <v>272</v>
      </c>
      <c r="F42" s="8"/>
      <c r="G42" s="8" t="s">
        <v>216</v>
      </c>
      <c r="H42" s="8"/>
      <c r="I42" s="8"/>
      <c r="J42" s="8" t="s">
        <v>366</v>
      </c>
      <c r="K42" s="8" t="s">
        <v>134</v>
      </c>
      <c r="M42" s="8"/>
      <c r="N42" s="8"/>
      <c r="O42" s="8"/>
    </row>
    <row r="43" spans="1:15" ht="15" customHeight="1" x14ac:dyDescent="0.25">
      <c r="A43" s="44">
        <v>8</v>
      </c>
      <c r="B43" s="44" t="b" cm="1">
        <f t="array" ref="B43">_xlfn.LET(
  _xlpm.ids, VALUE(_xlfn.TEXTSPLIT(SUBSTITUTE(A43,",",";"),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3" s="10" t="s">
        <v>97</v>
      </c>
      <c r="D43" s="8" t="s">
        <v>1245</v>
      </c>
      <c r="E43" s="10" t="s">
        <v>272</v>
      </c>
      <c r="F43" s="4"/>
      <c r="G43" s="10" t="s">
        <v>216</v>
      </c>
      <c r="H43" s="4"/>
      <c r="I43" s="10"/>
      <c r="J43" s="4" t="s">
        <v>364</v>
      </c>
      <c r="K43" s="4" t="s">
        <v>174</v>
      </c>
      <c r="M43" s="10"/>
      <c r="N43" s="10"/>
      <c r="O43" s="10"/>
    </row>
    <row r="44" spans="1:15" ht="15" customHeight="1" x14ac:dyDescent="0.25">
      <c r="A44" s="45">
        <v>2</v>
      </c>
      <c r="B44" s="45" t="b" cm="1">
        <f t="array" ref="B44">_xlfn.LET(
  _xlpm.ids, VALUE(_xlfn.TEXTSPLIT(SUBSTITUTE(A44,",",";"),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4" s="10" t="s">
        <v>97</v>
      </c>
      <c r="D44" s="8" t="s">
        <v>293</v>
      </c>
      <c r="E44" s="8" t="s">
        <v>1249</v>
      </c>
      <c r="F44" s="4"/>
      <c r="G44" s="8" t="s">
        <v>299</v>
      </c>
      <c r="H44" s="4"/>
      <c r="I44" s="8"/>
      <c r="J44" s="4" t="s">
        <v>300</v>
      </c>
      <c r="K44" s="4" t="s">
        <v>265</v>
      </c>
      <c r="M44" s="8"/>
      <c r="N44" s="8"/>
      <c r="O44" s="8"/>
    </row>
    <row r="45" spans="1:15" ht="15" customHeight="1" x14ac:dyDescent="0.25">
      <c r="A45" s="44">
        <v>6</v>
      </c>
      <c r="B45" s="44" t="b" cm="1">
        <f t="array" ref="B45">_xlfn.LET(
  _xlpm.ids, VALUE(_xlfn.TEXTSPLIT(SUBSTITUTE(A45,",",";"),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5" s="10" t="s">
        <v>97</v>
      </c>
      <c r="D45" s="10" t="s">
        <v>293</v>
      </c>
      <c r="E45" s="10" t="s">
        <v>1244</v>
      </c>
      <c r="F45" s="4"/>
      <c r="G45" s="10" t="s">
        <v>295</v>
      </c>
      <c r="H45" s="4"/>
      <c r="I45" s="10"/>
      <c r="J45" s="4" t="s">
        <v>298</v>
      </c>
      <c r="K45" s="4" t="s">
        <v>119</v>
      </c>
      <c r="M45" s="10"/>
      <c r="N45" s="10"/>
      <c r="O45" s="10"/>
    </row>
    <row r="46" spans="1:15" ht="15" customHeight="1" x14ac:dyDescent="0.25">
      <c r="A46" s="44">
        <v>15</v>
      </c>
      <c r="B46" s="44" t="b" cm="1">
        <f t="array" ref="B46">_xlfn.LET(
  _xlpm.ids, VALUE(_xlfn.TEXTSPLIT(SUBSTITUTE(A46,",",";"),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6" s="10" t="s">
        <v>97</v>
      </c>
      <c r="D46" s="10" t="s">
        <v>293</v>
      </c>
      <c r="E46" s="10" t="s">
        <v>273</v>
      </c>
      <c r="F46" s="4"/>
      <c r="G46" s="10" t="s">
        <v>295</v>
      </c>
      <c r="H46" s="4"/>
      <c r="I46" s="10"/>
      <c r="J46" s="4" t="s">
        <v>296</v>
      </c>
      <c r="K46" s="4" t="s">
        <v>153</v>
      </c>
      <c r="M46" s="10"/>
      <c r="N46" s="10"/>
      <c r="O46" s="10"/>
    </row>
    <row r="47" spans="1:15" ht="15" customHeight="1" x14ac:dyDescent="0.25">
      <c r="A47" s="55">
        <v>11</v>
      </c>
      <c r="B47" s="55" t="b" cm="1">
        <f t="array" ref="B47">_xlfn.LET(
  _xlpm.ids, VALUE(_xlfn.TEXTSPLIT(SUBSTITUTE(A47,",",";"),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7" s="10" t="s">
        <v>97</v>
      </c>
      <c r="D47" s="15"/>
      <c r="E47" s="15" t="s">
        <v>273</v>
      </c>
      <c r="F47" s="15"/>
      <c r="G47" s="15" t="s">
        <v>290</v>
      </c>
      <c r="H47" s="15"/>
      <c r="I47" s="15"/>
      <c r="J47" s="15" t="s">
        <v>312</v>
      </c>
      <c r="K47" s="15" t="s">
        <v>313</v>
      </c>
      <c r="M47" s="15"/>
      <c r="N47" s="15"/>
      <c r="O47" s="15"/>
    </row>
    <row r="48" spans="1:15" ht="15" customHeight="1" x14ac:dyDescent="0.25">
      <c r="A48" s="44">
        <v>20</v>
      </c>
      <c r="B48" s="44" t="b" cm="1">
        <f t="array" ref="B48">_xlfn.LET(
  _xlpm.ids, VALUE(_xlfn.TEXTSPLIT(SUBSTITUTE(A48,",",";"),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8" s="10" t="s">
        <v>97</v>
      </c>
      <c r="D48" s="10" t="s">
        <v>1243</v>
      </c>
      <c r="E48" s="10" t="s">
        <v>424</v>
      </c>
      <c r="F48" s="4"/>
      <c r="G48" s="10" t="s">
        <v>290</v>
      </c>
      <c r="H48" s="4"/>
      <c r="I48" s="10"/>
      <c r="J48" s="4" t="s">
        <v>820</v>
      </c>
      <c r="K48" s="4" t="s">
        <v>355</v>
      </c>
      <c r="M48" s="10"/>
      <c r="N48" s="10"/>
      <c r="O48" s="10"/>
    </row>
    <row r="49" spans="1:15" ht="15" customHeight="1" x14ac:dyDescent="0.25">
      <c r="A49" s="44" t="s">
        <v>454</v>
      </c>
      <c r="B49" s="44" t="b" cm="1">
        <f t="array" ref="B49">_xlfn.LET(
  _xlpm.ids, VALUE(_xlfn.TEXTSPLIT(SUBSTITUTE(A49,",",";"),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9" s="10" t="s">
        <v>97</v>
      </c>
      <c r="D49" s="10" t="s">
        <v>1246</v>
      </c>
      <c r="E49" s="10" t="s">
        <v>172</v>
      </c>
      <c r="F49" s="4"/>
      <c r="G49" s="10" t="s">
        <v>290</v>
      </c>
      <c r="H49" s="4"/>
      <c r="I49" s="10"/>
      <c r="J49" s="4" t="s">
        <v>453</v>
      </c>
      <c r="K49" s="4" t="s">
        <v>455</v>
      </c>
      <c r="M49" s="10"/>
      <c r="N49" s="10"/>
      <c r="O49" s="10"/>
    </row>
    <row r="50" spans="1:15" ht="15" customHeight="1" x14ac:dyDescent="0.25">
      <c r="A50" s="44">
        <v>18</v>
      </c>
      <c r="B50" s="44" t="b" cm="1">
        <f t="array" ref="B50">_xlfn.LET(
  _xlpm.ids, VALUE(_xlfn.TEXTSPLIT(SUBSTITUTE(A50,",",";"),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0" s="10" t="s">
        <v>97</v>
      </c>
      <c r="D50" s="10" t="s">
        <v>1245</v>
      </c>
      <c r="E50" s="10" t="s">
        <v>272</v>
      </c>
      <c r="F50" s="4"/>
      <c r="G50" s="10" t="s">
        <v>290</v>
      </c>
      <c r="H50" s="4"/>
      <c r="I50" s="10"/>
      <c r="J50" s="4" t="s">
        <v>321</v>
      </c>
      <c r="K50" s="4" t="s">
        <v>292</v>
      </c>
      <c r="M50" s="10"/>
      <c r="N50" s="10"/>
      <c r="O50" s="10"/>
    </row>
    <row r="51" spans="1:15" ht="15" customHeight="1" x14ac:dyDescent="0.25">
      <c r="A51" s="44">
        <v>18</v>
      </c>
      <c r="B51" s="44" t="b" cm="1">
        <f t="array" ref="B51">_xlfn.LET(
  _xlpm.ids, VALUE(_xlfn.TEXTSPLIT(SUBSTITUTE(A51,",",";"),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1" s="10" t="s">
        <v>97</v>
      </c>
      <c r="D51" s="10" t="s">
        <v>199</v>
      </c>
      <c r="E51" s="10" t="s">
        <v>1244</v>
      </c>
      <c r="F51" s="4"/>
      <c r="G51" s="10" t="s">
        <v>290</v>
      </c>
      <c r="H51" s="4"/>
      <c r="I51" s="10"/>
      <c r="J51" s="4" t="s">
        <v>291</v>
      </c>
      <c r="K51" s="4" t="s">
        <v>292</v>
      </c>
      <c r="M51" s="10"/>
      <c r="N51" s="10"/>
      <c r="O51" s="10"/>
    </row>
    <row r="52" spans="1:15" ht="15" customHeight="1" x14ac:dyDescent="0.25">
      <c r="A52" s="44">
        <v>18</v>
      </c>
      <c r="B52" s="44" t="b" cm="1">
        <f t="array" ref="B52">_xlfn.LET(
  _xlpm.ids, VALUE(_xlfn.TEXTSPLIT(SUBSTITUTE(A52,",",";"),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2" s="10" t="s">
        <v>97</v>
      </c>
      <c r="D52" s="10" t="s">
        <v>1243</v>
      </c>
      <c r="E52" s="10" t="s">
        <v>424</v>
      </c>
      <c r="F52" s="4"/>
      <c r="G52" s="10" t="s">
        <v>290</v>
      </c>
      <c r="H52" s="4"/>
      <c r="I52" s="10"/>
      <c r="J52" s="4" t="s">
        <v>823</v>
      </c>
      <c r="K52" s="4" t="s">
        <v>292</v>
      </c>
      <c r="M52" s="10"/>
      <c r="N52" s="10"/>
      <c r="O52" s="10"/>
    </row>
    <row r="53" spans="1:15" ht="15" customHeight="1" x14ac:dyDescent="0.25">
      <c r="A53" s="44">
        <v>18</v>
      </c>
      <c r="B53" s="44" t="b" cm="1">
        <f t="array" ref="B53">_xlfn.LET(
  _xlpm.ids, VALUE(_xlfn.TEXTSPLIT(SUBSTITUTE(A53,",",";"),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3" s="10" t="s">
        <v>97</v>
      </c>
      <c r="D53" s="10" t="s">
        <v>1245</v>
      </c>
      <c r="E53" s="10" t="s">
        <v>272</v>
      </c>
      <c r="F53" s="4"/>
      <c r="G53" s="10" t="s">
        <v>290</v>
      </c>
      <c r="H53" s="4"/>
      <c r="I53" s="10"/>
      <c r="J53" s="4" t="s">
        <v>349</v>
      </c>
      <c r="K53" s="4" t="s">
        <v>292</v>
      </c>
      <c r="M53" s="10"/>
      <c r="N53" s="10"/>
      <c r="O53" s="10"/>
    </row>
    <row r="54" spans="1:15" ht="15" customHeight="1" x14ac:dyDescent="0.25">
      <c r="A54" s="44">
        <v>20</v>
      </c>
      <c r="B54" s="44" t="b" cm="1">
        <f t="array" ref="B54">_xlfn.LET(
  _xlpm.ids, VALUE(_xlfn.TEXTSPLIT(SUBSTITUTE(A54,",",";"),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4" s="10" t="s">
        <v>97</v>
      </c>
      <c r="D54" s="10" t="s">
        <v>1245</v>
      </c>
      <c r="E54" s="10" t="s">
        <v>272</v>
      </c>
      <c r="F54" s="4"/>
      <c r="G54" s="10" t="s">
        <v>290</v>
      </c>
      <c r="H54" s="4"/>
      <c r="I54" s="10"/>
      <c r="J54" s="4" t="s">
        <v>354</v>
      </c>
      <c r="K54" s="4" t="s">
        <v>355</v>
      </c>
      <c r="M54" s="10"/>
      <c r="N54" s="10"/>
      <c r="O54" s="10"/>
    </row>
    <row r="55" spans="1:15" ht="15" customHeight="1" x14ac:dyDescent="0.25">
      <c r="A55" s="44">
        <v>20</v>
      </c>
      <c r="B55" s="44" t="b" cm="1">
        <f t="array" ref="B55">_xlfn.LET(
  _xlpm.ids, VALUE(_xlfn.TEXTSPLIT(SUBSTITUTE(A55,",",";"),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5" s="10" t="s">
        <v>97</v>
      </c>
      <c r="D55" s="10" t="s">
        <v>1243</v>
      </c>
      <c r="E55" s="10" t="s">
        <v>424</v>
      </c>
      <c r="F55" s="4"/>
      <c r="G55" s="10" t="s">
        <v>290</v>
      </c>
      <c r="H55" s="4"/>
      <c r="I55" s="10"/>
      <c r="J55" s="4" t="s">
        <v>826</v>
      </c>
      <c r="K55" s="4" t="s">
        <v>355</v>
      </c>
      <c r="M55" s="10"/>
      <c r="N55" s="10"/>
      <c r="O55" s="10"/>
    </row>
    <row r="56" spans="1:15" ht="15" customHeight="1" x14ac:dyDescent="0.25">
      <c r="A56" s="44">
        <v>18</v>
      </c>
      <c r="B56" s="44" t="b" cm="1">
        <f t="array" ref="B56">_xlfn.LET(
  _xlpm.ids, VALUE(_xlfn.TEXTSPLIT(SUBSTITUTE(A56,",",";"),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6" s="10" t="s">
        <v>97</v>
      </c>
      <c r="D56" s="10" t="s">
        <v>1243</v>
      </c>
      <c r="E56" s="10" t="s">
        <v>424</v>
      </c>
      <c r="F56" s="4"/>
      <c r="G56" s="10" t="s">
        <v>290</v>
      </c>
      <c r="H56" s="4"/>
      <c r="I56" s="10"/>
      <c r="J56" s="4" t="s">
        <v>835</v>
      </c>
      <c r="K56" s="4" t="s">
        <v>292</v>
      </c>
      <c r="M56" s="10"/>
      <c r="N56" s="10"/>
      <c r="O56" s="10"/>
    </row>
    <row r="57" spans="1:15" ht="15" customHeight="1" x14ac:dyDescent="0.25">
      <c r="A57" s="44">
        <v>20</v>
      </c>
      <c r="B57" s="44" t="b" cm="1">
        <f t="array" ref="B57">_xlfn.LET(
  _xlpm.ids, VALUE(_xlfn.TEXTSPLIT(SUBSTITUTE(A57,",",";"),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7" s="10" t="s">
        <v>97</v>
      </c>
      <c r="D57" s="10" t="s">
        <v>1245</v>
      </c>
      <c r="E57" s="10" t="s">
        <v>272</v>
      </c>
      <c r="F57" s="4"/>
      <c r="G57" s="10" t="s">
        <v>290</v>
      </c>
      <c r="H57" s="4"/>
      <c r="I57" s="10"/>
      <c r="J57" s="4" t="s">
        <v>357</v>
      </c>
      <c r="K57" s="4" t="s">
        <v>355</v>
      </c>
      <c r="M57" s="10"/>
      <c r="N57" s="10"/>
      <c r="O57" s="10"/>
    </row>
    <row r="58" spans="1:15" ht="15" customHeight="1" x14ac:dyDescent="0.25">
      <c r="A58" s="44">
        <v>20</v>
      </c>
      <c r="B58" s="44" t="b" cm="1">
        <f t="array" ref="B58">_xlfn.LET(
  _xlpm.ids, VALUE(_xlfn.TEXTSPLIT(SUBSTITUTE(A58,",",";"),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8" s="10" t="s">
        <v>97</v>
      </c>
      <c r="D58" s="10" t="s">
        <v>1243</v>
      </c>
      <c r="E58" s="10" t="s">
        <v>424</v>
      </c>
      <c r="F58" s="4"/>
      <c r="G58" s="10" t="s">
        <v>290</v>
      </c>
      <c r="H58" s="4"/>
      <c r="I58" s="10"/>
      <c r="J58" s="4" t="s">
        <v>839</v>
      </c>
      <c r="K58" s="4" t="s">
        <v>355</v>
      </c>
      <c r="M58" s="10"/>
      <c r="N58" s="10"/>
      <c r="O58" s="10"/>
    </row>
    <row r="59" spans="1:15" ht="15" customHeight="1" x14ac:dyDescent="0.25">
      <c r="A59" s="55">
        <v>10</v>
      </c>
      <c r="B59" s="55" t="b" cm="1">
        <f t="array" ref="B59">_xlfn.LET(
  _xlpm.ids, VALUE(_xlfn.TEXTSPLIT(SUBSTITUTE(A59,",",";"),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59" s="10" t="s">
        <v>97</v>
      </c>
      <c r="D59" s="15" t="s">
        <v>1243</v>
      </c>
      <c r="E59" s="15" t="s">
        <v>424</v>
      </c>
      <c r="F59" s="15"/>
      <c r="G59" s="15" t="s">
        <v>290</v>
      </c>
      <c r="H59" s="15"/>
      <c r="I59" s="15"/>
      <c r="J59" s="15" t="s">
        <v>836</v>
      </c>
      <c r="K59" s="15" t="s">
        <v>148</v>
      </c>
      <c r="M59" s="15"/>
      <c r="N59" s="15"/>
      <c r="O59" s="15"/>
    </row>
    <row r="60" spans="1:15" ht="15" customHeight="1" x14ac:dyDescent="0.25">
      <c r="A60" s="55">
        <v>10</v>
      </c>
      <c r="B60" s="55" t="b" cm="1">
        <f t="array" ref="B60">_xlfn.LET(
  _xlpm.ids, VALUE(_xlfn.TEXTSPLIT(SUBSTITUTE(A60,",",";"),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0" s="10" t="s">
        <v>97</v>
      </c>
      <c r="D60" s="8" t="s">
        <v>1246</v>
      </c>
      <c r="E60" s="10" t="s">
        <v>172</v>
      </c>
      <c r="F60" s="15"/>
      <c r="G60" s="15" t="s">
        <v>290</v>
      </c>
      <c r="H60" s="15"/>
      <c r="I60" s="15"/>
      <c r="J60" s="15" t="s">
        <v>468</v>
      </c>
      <c r="K60" s="15" t="s">
        <v>148</v>
      </c>
      <c r="M60" s="15"/>
      <c r="N60" s="15"/>
      <c r="O60" s="15"/>
    </row>
    <row r="61" spans="1:15" ht="15" customHeight="1" x14ac:dyDescent="0.25">
      <c r="A61" s="55">
        <v>10</v>
      </c>
      <c r="B61" s="55" t="b" cm="1">
        <f t="array" ref="B61">_xlfn.LET(
  _xlpm.ids, VALUE(_xlfn.TEXTSPLIT(SUBSTITUTE(A61,",",";"),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1" s="10" t="s">
        <v>97</v>
      </c>
      <c r="D61" s="8" t="s">
        <v>370</v>
      </c>
      <c r="E61" s="10" t="s">
        <v>272</v>
      </c>
      <c r="F61" s="15"/>
      <c r="G61" s="15" t="s">
        <v>393</v>
      </c>
      <c r="H61" s="15"/>
      <c r="I61" s="15"/>
      <c r="J61" s="15" t="s">
        <v>394</v>
      </c>
      <c r="K61" s="15" t="s">
        <v>148</v>
      </c>
      <c r="M61" s="15"/>
      <c r="N61" s="15"/>
      <c r="O61" s="15"/>
    </row>
    <row r="62" spans="1:15" ht="15" customHeight="1" x14ac:dyDescent="0.25">
      <c r="A62" s="44">
        <v>7</v>
      </c>
      <c r="B62" s="44" t="b" cm="1">
        <f t="array" ref="B62">_xlfn.LET(
  _xlpm.ids, VALUE(_xlfn.TEXTSPLIT(SUBSTITUTE(A62,",",";"),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2" s="10" t="s">
        <v>97</v>
      </c>
      <c r="D62" s="10" t="s">
        <v>1243</v>
      </c>
      <c r="E62" s="10" t="s">
        <v>424</v>
      </c>
      <c r="F62" s="4"/>
      <c r="G62" s="10" t="s">
        <v>290</v>
      </c>
      <c r="H62" s="4"/>
      <c r="I62" s="10"/>
      <c r="J62" s="4" t="s">
        <v>856</v>
      </c>
      <c r="K62" s="4" t="s">
        <v>153</v>
      </c>
      <c r="M62" s="10"/>
      <c r="N62" s="10"/>
      <c r="O62" s="10"/>
    </row>
    <row r="63" spans="1:15" ht="15" customHeight="1" x14ac:dyDescent="0.25">
      <c r="A63" s="44">
        <v>15</v>
      </c>
      <c r="B63" s="44" t="b" cm="1">
        <f t="array" ref="B63">_xlfn.LET(
  _xlpm.ids, VALUE(_xlfn.TEXTSPLIT(SUBSTITUTE(A63,",",";"),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3" s="10" t="s">
        <v>97</v>
      </c>
      <c r="D63" s="10" t="s">
        <v>1245</v>
      </c>
      <c r="E63" s="10" t="s">
        <v>272</v>
      </c>
      <c r="F63" s="4"/>
      <c r="G63" s="10" t="s">
        <v>290</v>
      </c>
      <c r="H63" s="4"/>
      <c r="I63" s="10"/>
      <c r="J63" s="4" t="s">
        <v>347</v>
      </c>
      <c r="K63" s="4" t="s">
        <v>153</v>
      </c>
      <c r="M63" s="10"/>
      <c r="N63" s="10"/>
      <c r="O63" s="10"/>
    </row>
    <row r="64" spans="1:15" ht="15" customHeight="1" x14ac:dyDescent="0.25">
      <c r="A64" s="45">
        <v>1</v>
      </c>
      <c r="B64" s="45" t="b" cm="1">
        <f t="array" ref="B64">_xlfn.LET(
  _xlpm.ids, VALUE(_xlfn.TEXTSPLIT(SUBSTITUTE(A64,",",";"),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4" s="10" t="s">
        <v>97</v>
      </c>
      <c r="D64" s="8" t="s">
        <v>293</v>
      </c>
      <c r="E64" s="8" t="s">
        <v>273</v>
      </c>
      <c r="F64" s="4"/>
      <c r="G64" s="8" t="s">
        <v>290</v>
      </c>
      <c r="H64" s="4"/>
      <c r="I64" s="8"/>
      <c r="J64" s="4" t="s">
        <v>302</v>
      </c>
      <c r="K64" s="4" t="s">
        <v>263</v>
      </c>
      <c r="M64" s="8"/>
      <c r="N64" s="8"/>
      <c r="O64" s="8"/>
    </row>
    <row r="65" spans="1:15" ht="15" customHeight="1" x14ac:dyDescent="0.25">
      <c r="A65" s="44">
        <v>6</v>
      </c>
      <c r="B65" s="44" t="b" cm="1">
        <f t="array" ref="B65">_xlfn.LET(
  _xlpm.ids, VALUE(_xlfn.TEXTSPLIT(SUBSTITUTE(A65,",",";"),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5" s="10" t="s">
        <v>97</v>
      </c>
      <c r="D65" s="10" t="s">
        <v>293</v>
      </c>
      <c r="E65" s="10" t="s">
        <v>1244</v>
      </c>
      <c r="F65" s="4"/>
      <c r="G65" s="10" t="s">
        <v>290</v>
      </c>
      <c r="H65" s="4"/>
      <c r="I65" s="10"/>
      <c r="J65" s="4" t="s">
        <v>301</v>
      </c>
      <c r="K65" s="4" t="s">
        <v>119</v>
      </c>
      <c r="M65" s="10"/>
      <c r="N65" s="10"/>
      <c r="O65" s="10"/>
    </row>
    <row r="66" spans="1:15" ht="15" customHeight="1" x14ac:dyDescent="0.25">
      <c r="A66" s="45">
        <v>27</v>
      </c>
      <c r="B66" s="45" t="b" cm="1">
        <f t="array" ref="B66">_xlfn.LET(
  _xlpm.ids, VALUE(_xlfn.TEXTSPLIT(SUBSTITUTE(A66,",",";"),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6" s="8" t="s">
        <v>97</v>
      </c>
      <c r="D66" s="8"/>
      <c r="E66" s="8"/>
      <c r="F66" s="8"/>
      <c r="G66" s="8" t="s">
        <v>290</v>
      </c>
      <c r="H66" s="8"/>
      <c r="I66" s="8"/>
      <c r="J66" s="8" t="s">
        <v>812</v>
      </c>
      <c r="K66" s="8"/>
      <c r="M66" s="8"/>
      <c r="N66" s="8"/>
      <c r="O66" s="8"/>
    </row>
    <row r="67" spans="1:15" ht="15" customHeight="1" x14ac:dyDescent="0.25">
      <c r="A67" s="44" t="s">
        <v>190</v>
      </c>
      <c r="B67" s="44" t="b" cm="1">
        <f t="array" ref="B67">_xlfn.LET(
  _xlpm.ids, VALUE(_xlfn.TEXTSPLIT(SUBSTITUTE(A67,",",";"),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7" s="10" t="s">
        <v>97</v>
      </c>
      <c r="D67" s="10" t="s">
        <v>1243</v>
      </c>
      <c r="E67" s="10" t="s">
        <v>424</v>
      </c>
      <c r="F67" s="4"/>
      <c r="G67" s="10" t="s">
        <v>290</v>
      </c>
      <c r="H67" s="4"/>
      <c r="I67" s="10"/>
      <c r="J67" s="4" t="s">
        <v>816</v>
      </c>
      <c r="K67" s="4" t="s">
        <v>127</v>
      </c>
      <c r="M67" s="10"/>
      <c r="N67" s="10"/>
      <c r="O67" s="10"/>
    </row>
    <row r="68" spans="1:15" ht="15" customHeight="1" x14ac:dyDescent="0.25">
      <c r="A68" s="55">
        <v>10</v>
      </c>
      <c r="B68" s="55" t="b" cm="1">
        <f t="array" ref="B68">_xlfn.LET(
  _xlpm.ids, VALUE(_xlfn.TEXTSPLIT(SUBSTITUTE(A68,",",";"),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8" s="10" t="s">
        <v>97</v>
      </c>
      <c r="D68" s="15" t="s">
        <v>1245</v>
      </c>
      <c r="E68" s="10" t="s">
        <v>272</v>
      </c>
      <c r="F68" s="15"/>
      <c r="G68" s="15" t="s">
        <v>290</v>
      </c>
      <c r="H68" s="15"/>
      <c r="I68" s="15"/>
      <c r="J68" s="15" t="s">
        <v>334</v>
      </c>
      <c r="K68" s="15" t="s">
        <v>148</v>
      </c>
      <c r="M68" s="15"/>
      <c r="N68" s="15"/>
      <c r="O68" s="15"/>
    </row>
    <row r="69" spans="1:15" ht="15" customHeight="1" x14ac:dyDescent="0.25">
      <c r="A69" s="55">
        <v>10</v>
      </c>
      <c r="B69" s="55"/>
      <c r="C69" s="10" t="s">
        <v>97</v>
      </c>
      <c r="D69" s="15" t="s">
        <v>1245</v>
      </c>
      <c r="E69" s="10" t="s">
        <v>272</v>
      </c>
      <c r="F69" s="15"/>
      <c r="G69" s="15" t="s">
        <v>290</v>
      </c>
      <c r="H69" s="15"/>
      <c r="I69" s="15"/>
      <c r="J69" s="15" t="s">
        <v>378</v>
      </c>
      <c r="K69" s="15" t="s">
        <v>148</v>
      </c>
      <c r="M69" s="15"/>
      <c r="N69" s="15"/>
      <c r="O69" s="15"/>
    </row>
    <row r="70" spans="1:15" ht="15" customHeight="1" x14ac:dyDescent="0.25">
      <c r="A70" s="55">
        <v>10</v>
      </c>
      <c r="B70" s="55"/>
      <c r="C70" s="10" t="s">
        <v>97</v>
      </c>
      <c r="D70" s="15" t="s">
        <v>1245</v>
      </c>
      <c r="E70" s="10" t="s">
        <v>272</v>
      </c>
      <c r="F70" s="15"/>
      <c r="G70" s="15" t="s">
        <v>290</v>
      </c>
      <c r="H70" s="15"/>
      <c r="I70" s="15"/>
      <c r="J70" s="15" t="s">
        <v>387</v>
      </c>
      <c r="K70" s="15" t="s">
        <v>148</v>
      </c>
      <c r="M70" s="15"/>
      <c r="N70" s="15"/>
      <c r="O70" s="15"/>
    </row>
    <row r="71" spans="1:15" ht="15" customHeight="1" x14ac:dyDescent="0.25">
      <c r="A71" s="45">
        <v>26</v>
      </c>
      <c r="B71" s="45"/>
      <c r="C71" s="8" t="s">
        <v>97</v>
      </c>
      <c r="D71" s="8" t="s">
        <v>293</v>
      </c>
      <c r="E71" s="8" t="s">
        <v>273</v>
      </c>
      <c r="F71" s="8"/>
      <c r="G71" s="8" t="s">
        <v>115</v>
      </c>
      <c r="H71" s="8"/>
      <c r="I71" s="8"/>
      <c r="J71" s="8" t="s">
        <v>288</v>
      </c>
      <c r="K71" s="8" t="s">
        <v>134</v>
      </c>
      <c r="M71" s="8"/>
      <c r="N71" s="8"/>
      <c r="O71" s="8" t="s">
        <v>169</v>
      </c>
    </row>
    <row r="72" spans="1:15" ht="15" customHeight="1" x14ac:dyDescent="0.25">
      <c r="A72" s="44">
        <v>13</v>
      </c>
      <c r="B72" s="44"/>
      <c r="C72" s="10" t="s">
        <v>97</v>
      </c>
      <c r="D72" s="8" t="s">
        <v>1246</v>
      </c>
      <c r="E72" s="10" t="s">
        <v>172</v>
      </c>
      <c r="F72" s="4"/>
      <c r="G72" s="10" t="s">
        <v>115</v>
      </c>
      <c r="H72" s="4"/>
      <c r="I72" s="10"/>
      <c r="J72" s="4" t="s">
        <v>456</v>
      </c>
      <c r="K72" s="4" t="s">
        <v>151</v>
      </c>
      <c r="M72" s="10"/>
      <c r="N72" s="10"/>
      <c r="O72" s="10"/>
    </row>
    <row r="73" spans="1:15" ht="15" customHeight="1" x14ac:dyDescent="0.25">
      <c r="A73" s="55">
        <v>16</v>
      </c>
      <c r="B73" s="55"/>
      <c r="C73" s="10" t="s">
        <v>97</v>
      </c>
      <c r="D73" s="8" t="s">
        <v>1246</v>
      </c>
      <c r="E73" s="10" t="s">
        <v>172</v>
      </c>
      <c r="F73" s="15"/>
      <c r="G73" s="15" t="s">
        <v>115</v>
      </c>
      <c r="H73" s="15"/>
      <c r="I73" s="15"/>
      <c r="J73" s="15" t="s">
        <v>461</v>
      </c>
      <c r="K73" s="15" t="s">
        <v>244</v>
      </c>
      <c r="M73" s="15"/>
      <c r="N73" s="15"/>
      <c r="O73" s="15"/>
    </row>
    <row r="74" spans="1:15" ht="15" customHeight="1" x14ac:dyDescent="0.25">
      <c r="A74" s="55">
        <v>11</v>
      </c>
      <c r="B74" s="55"/>
      <c r="C74" s="10" t="s">
        <v>97</v>
      </c>
      <c r="D74" s="15" t="s">
        <v>1171</v>
      </c>
      <c r="E74" s="10" t="s">
        <v>272</v>
      </c>
      <c r="F74" s="15"/>
      <c r="G74" s="15" t="s">
        <v>115</v>
      </c>
      <c r="H74" s="15"/>
      <c r="I74" s="15"/>
      <c r="J74" s="15" t="s">
        <v>709</v>
      </c>
      <c r="K74" s="15" t="s">
        <v>313</v>
      </c>
      <c r="M74" s="15"/>
      <c r="N74" s="15"/>
      <c r="O74" s="15"/>
    </row>
    <row r="75" spans="1:15" ht="15" customHeight="1" x14ac:dyDescent="0.25">
      <c r="A75" s="55">
        <v>10</v>
      </c>
      <c r="B75" s="55"/>
      <c r="C75" s="10" t="s">
        <v>97</v>
      </c>
      <c r="D75" s="15" t="s">
        <v>1245</v>
      </c>
      <c r="E75" s="10" t="s">
        <v>272</v>
      </c>
      <c r="F75" s="15"/>
      <c r="G75" s="15" t="s">
        <v>115</v>
      </c>
      <c r="H75" s="15"/>
      <c r="I75" s="15"/>
      <c r="J75" s="15" t="s">
        <v>356</v>
      </c>
      <c r="K75" s="15" t="s">
        <v>148</v>
      </c>
      <c r="M75" s="15"/>
      <c r="N75" s="15"/>
      <c r="O75" s="15"/>
    </row>
    <row r="76" spans="1:15" ht="15" customHeight="1" x14ac:dyDescent="0.25">
      <c r="A76" s="49" t="s">
        <v>464</v>
      </c>
      <c r="B76" s="49"/>
      <c r="C76" s="36" t="s">
        <v>97</v>
      </c>
      <c r="D76" s="8" t="s">
        <v>1250</v>
      </c>
      <c r="E76" s="8" t="s">
        <v>172</v>
      </c>
      <c r="F76" s="36"/>
      <c r="G76" s="16" t="s">
        <v>115</v>
      </c>
      <c r="H76" s="36"/>
      <c r="I76" s="16"/>
      <c r="J76" s="36" t="s">
        <v>463</v>
      </c>
      <c r="K76" s="36" t="s">
        <v>209</v>
      </c>
      <c r="M76" s="16"/>
      <c r="N76" s="37"/>
      <c r="O76" s="36"/>
    </row>
    <row r="77" spans="1:15" ht="15" customHeight="1" x14ac:dyDescent="0.25">
      <c r="A77" s="44" t="s">
        <v>1251</v>
      </c>
      <c r="B77" s="44"/>
      <c r="C77" s="10" t="s">
        <v>97</v>
      </c>
      <c r="D77" s="15" t="s">
        <v>1245</v>
      </c>
      <c r="E77" s="10" t="s">
        <v>272</v>
      </c>
      <c r="F77" s="15"/>
      <c r="G77" s="15" t="s">
        <v>115</v>
      </c>
      <c r="H77" s="4"/>
      <c r="I77" s="15"/>
      <c r="J77" s="4" t="s">
        <v>315</v>
      </c>
      <c r="K77" s="15" t="s">
        <v>1252</v>
      </c>
      <c r="M77" s="15"/>
      <c r="N77" s="15"/>
      <c r="O77" s="15"/>
    </row>
    <row r="78" spans="1:15" ht="15" customHeight="1" x14ac:dyDescent="0.25">
      <c r="A78" s="45">
        <v>4</v>
      </c>
      <c r="B78" s="45"/>
      <c r="C78" s="10" t="s">
        <v>97</v>
      </c>
      <c r="D78" s="8" t="s">
        <v>1245</v>
      </c>
      <c r="E78" s="10" t="s">
        <v>272</v>
      </c>
      <c r="F78" s="4"/>
      <c r="G78" s="8" t="s">
        <v>115</v>
      </c>
      <c r="H78" s="4"/>
      <c r="I78" s="8"/>
      <c r="J78" s="4" t="s">
        <v>359</v>
      </c>
      <c r="K78" s="4" t="s">
        <v>247</v>
      </c>
      <c r="M78" s="8"/>
      <c r="N78" s="8"/>
      <c r="O78" s="8"/>
    </row>
    <row r="79" spans="1:15" ht="15" customHeight="1" x14ac:dyDescent="0.25">
      <c r="A79" s="55">
        <v>11</v>
      </c>
      <c r="B79" s="55"/>
      <c r="C79" s="10" t="s">
        <v>97</v>
      </c>
      <c r="D79" s="15" t="s">
        <v>1245</v>
      </c>
      <c r="E79" s="10" t="s">
        <v>272</v>
      </c>
      <c r="F79" s="15"/>
      <c r="G79" s="15" t="s">
        <v>115</v>
      </c>
      <c r="H79" s="15"/>
      <c r="I79" s="15"/>
      <c r="J79" s="15" t="s">
        <v>360</v>
      </c>
      <c r="K79" s="15" t="s">
        <v>313</v>
      </c>
      <c r="M79" s="15"/>
      <c r="N79" s="15"/>
      <c r="O79" s="15"/>
    </row>
    <row r="80" spans="1:15" ht="15" customHeight="1" x14ac:dyDescent="0.25">
      <c r="A80" s="55">
        <v>16</v>
      </c>
      <c r="B80" s="55"/>
      <c r="C80" s="10" t="s">
        <v>97</v>
      </c>
      <c r="D80" s="15" t="s">
        <v>1245</v>
      </c>
      <c r="E80" s="10" t="s">
        <v>272</v>
      </c>
      <c r="F80" s="15"/>
      <c r="G80" s="15" t="s">
        <v>115</v>
      </c>
      <c r="H80" s="15"/>
      <c r="I80" s="15"/>
      <c r="J80" s="15" t="s">
        <v>316</v>
      </c>
      <c r="K80" s="15" t="s">
        <v>244</v>
      </c>
      <c r="M80" s="15"/>
      <c r="N80" s="15"/>
      <c r="O80" s="15"/>
    </row>
    <row r="81" spans="1:15" ht="15" customHeight="1" x14ac:dyDescent="0.25">
      <c r="A81" s="45">
        <v>17</v>
      </c>
      <c r="B81" s="45"/>
      <c r="C81" s="10" t="s">
        <v>97</v>
      </c>
      <c r="D81" s="8" t="s">
        <v>1243</v>
      </c>
      <c r="E81" s="8" t="s">
        <v>424</v>
      </c>
      <c r="F81" s="4"/>
      <c r="G81" s="8" t="s">
        <v>115</v>
      </c>
      <c r="H81" s="4"/>
      <c r="I81" s="8"/>
      <c r="J81" s="4" t="s">
        <v>827</v>
      </c>
      <c r="K81" s="4" t="s">
        <v>188</v>
      </c>
      <c r="M81" s="8"/>
      <c r="N81" s="8"/>
      <c r="O81" s="8"/>
    </row>
    <row r="82" spans="1:15" ht="15" customHeight="1" x14ac:dyDescent="0.25">
      <c r="A82" s="44">
        <v>14</v>
      </c>
      <c r="B82" s="44"/>
      <c r="C82" s="10" t="s">
        <v>97</v>
      </c>
      <c r="D82" s="8" t="s">
        <v>1246</v>
      </c>
      <c r="E82" s="10" t="s">
        <v>172</v>
      </c>
      <c r="F82" s="4"/>
      <c r="G82" s="10" t="s">
        <v>115</v>
      </c>
      <c r="H82" s="4"/>
      <c r="I82" s="10"/>
      <c r="J82" s="4" t="s">
        <v>534</v>
      </c>
      <c r="K82" s="4" t="s">
        <v>140</v>
      </c>
      <c r="M82" s="10"/>
      <c r="N82" s="10"/>
      <c r="O82" s="10"/>
    </row>
    <row r="83" spans="1:15" ht="15" customHeight="1" x14ac:dyDescent="0.25">
      <c r="A83" s="45">
        <v>31</v>
      </c>
      <c r="B83" s="45"/>
      <c r="C83" s="8" t="s">
        <v>97</v>
      </c>
      <c r="D83" s="16" t="s">
        <v>1253</v>
      </c>
      <c r="E83" s="16" t="s">
        <v>1254</v>
      </c>
      <c r="F83" s="8"/>
      <c r="G83" s="16" t="s">
        <v>115</v>
      </c>
      <c r="H83" s="8"/>
      <c r="I83" s="16"/>
      <c r="J83" s="8" t="s">
        <v>838</v>
      </c>
      <c r="K83" s="8" t="s">
        <v>129</v>
      </c>
      <c r="M83" s="16"/>
      <c r="N83" s="19"/>
      <c r="O83" s="8"/>
    </row>
    <row r="84" spans="1:15" ht="15" customHeight="1" x14ac:dyDescent="0.25">
      <c r="A84" s="44">
        <v>14</v>
      </c>
      <c r="B84" s="44"/>
      <c r="C84" s="10" t="s">
        <v>97</v>
      </c>
      <c r="D84" s="10" t="s">
        <v>1243</v>
      </c>
      <c r="E84" s="10" t="s">
        <v>424</v>
      </c>
      <c r="F84" s="4"/>
      <c r="G84" s="10" t="s">
        <v>115</v>
      </c>
      <c r="H84" s="4"/>
      <c r="I84" s="10"/>
      <c r="J84" s="4" t="s">
        <v>837</v>
      </c>
      <c r="K84" s="4" t="s">
        <v>140</v>
      </c>
      <c r="M84" s="10"/>
      <c r="N84" s="10"/>
      <c r="O84" s="10"/>
    </row>
    <row r="85" spans="1:15" ht="15" customHeight="1" x14ac:dyDescent="0.25">
      <c r="A85" s="55" t="s">
        <v>323</v>
      </c>
      <c r="B85" s="55"/>
      <c r="C85" s="10" t="s">
        <v>97</v>
      </c>
      <c r="D85" s="15" t="s">
        <v>1245</v>
      </c>
      <c r="E85" s="10" t="s">
        <v>272</v>
      </c>
      <c r="F85" s="15"/>
      <c r="G85" s="15" t="s">
        <v>115</v>
      </c>
      <c r="H85" s="15"/>
      <c r="I85" s="15"/>
      <c r="J85" s="15" t="s">
        <v>322</v>
      </c>
      <c r="K85" s="15" t="s">
        <v>324</v>
      </c>
      <c r="M85" s="15"/>
      <c r="N85" s="15"/>
      <c r="O85" s="15"/>
    </row>
    <row r="86" spans="1:15" ht="15" customHeight="1" x14ac:dyDescent="0.25">
      <c r="A86" s="45" t="s">
        <v>326</v>
      </c>
      <c r="B86" s="45"/>
      <c r="C86" s="8" t="s">
        <v>97</v>
      </c>
      <c r="D86" s="8" t="s">
        <v>1245</v>
      </c>
      <c r="E86" s="8" t="s">
        <v>272</v>
      </c>
      <c r="F86" s="8"/>
      <c r="G86" s="16" t="s">
        <v>115</v>
      </c>
      <c r="H86" s="8"/>
      <c r="I86" s="16"/>
      <c r="J86" s="8" t="s">
        <v>325</v>
      </c>
      <c r="K86" s="8" t="s">
        <v>327</v>
      </c>
      <c r="M86" s="16"/>
      <c r="N86" s="19"/>
      <c r="O86" s="8"/>
    </row>
    <row r="87" spans="1:15" ht="15" customHeight="1" x14ac:dyDescent="0.25">
      <c r="A87" s="44">
        <v>13</v>
      </c>
      <c r="B87" s="44"/>
      <c r="C87" s="10" t="s">
        <v>97</v>
      </c>
      <c r="D87" s="10" t="s">
        <v>1245</v>
      </c>
      <c r="E87" s="10" t="s">
        <v>272</v>
      </c>
      <c r="F87" s="4"/>
      <c r="G87" s="10" t="s">
        <v>115</v>
      </c>
      <c r="H87" s="4"/>
      <c r="I87" s="10"/>
      <c r="J87" s="4" t="s">
        <v>330</v>
      </c>
      <c r="K87" s="4" t="s">
        <v>151</v>
      </c>
      <c r="M87" s="10"/>
      <c r="N87" s="10"/>
      <c r="O87" s="10"/>
    </row>
    <row r="88" spans="1:15" ht="15" customHeight="1" x14ac:dyDescent="0.25">
      <c r="A88" s="44">
        <v>13</v>
      </c>
      <c r="B88" s="44"/>
      <c r="C88" s="10" t="s">
        <v>97</v>
      </c>
      <c r="D88" s="10" t="s">
        <v>1243</v>
      </c>
      <c r="E88" s="10" t="s">
        <v>424</v>
      </c>
      <c r="F88" s="4"/>
      <c r="G88" s="10" t="s">
        <v>115</v>
      </c>
      <c r="H88" s="4"/>
      <c r="I88" s="10"/>
      <c r="J88" s="4" t="s">
        <v>824</v>
      </c>
      <c r="K88" s="4" t="s">
        <v>151</v>
      </c>
      <c r="M88" s="10"/>
      <c r="N88" s="10"/>
      <c r="O88" s="10"/>
    </row>
    <row r="89" spans="1:15" ht="15" customHeight="1" x14ac:dyDescent="0.25">
      <c r="A89" s="55">
        <v>16</v>
      </c>
      <c r="B89" s="55"/>
      <c r="C89" s="10" t="s">
        <v>97</v>
      </c>
      <c r="D89" s="15" t="s">
        <v>1243</v>
      </c>
      <c r="E89" s="15" t="s">
        <v>424</v>
      </c>
      <c r="F89" s="15"/>
      <c r="G89" s="15" t="s">
        <v>115</v>
      </c>
      <c r="H89" s="15"/>
      <c r="I89" s="15"/>
      <c r="J89" s="15" t="s">
        <v>828</v>
      </c>
      <c r="K89" s="15" t="s">
        <v>244</v>
      </c>
      <c r="M89" s="15"/>
      <c r="N89" s="15"/>
      <c r="O89" s="15"/>
    </row>
    <row r="90" spans="1:15" ht="15" customHeight="1" x14ac:dyDescent="0.25">
      <c r="A90" s="55">
        <v>11</v>
      </c>
      <c r="B90" s="55"/>
      <c r="C90" s="10" t="s">
        <v>97</v>
      </c>
      <c r="D90" s="15" t="s">
        <v>1245</v>
      </c>
      <c r="E90" s="10" t="s">
        <v>272</v>
      </c>
      <c r="F90" s="15"/>
      <c r="G90" s="15" t="s">
        <v>115</v>
      </c>
      <c r="H90" s="15"/>
      <c r="I90" s="15"/>
      <c r="J90" s="15" t="s">
        <v>361</v>
      </c>
      <c r="K90" s="15" t="s">
        <v>313</v>
      </c>
      <c r="M90" s="15"/>
      <c r="N90" s="15"/>
      <c r="O90" s="15"/>
    </row>
    <row r="91" spans="1:15" ht="15" customHeight="1" x14ac:dyDescent="0.25">
      <c r="A91" s="44" t="s">
        <v>351</v>
      </c>
      <c r="B91" s="44"/>
      <c r="C91" s="10" t="s">
        <v>97</v>
      </c>
      <c r="D91" s="10" t="s">
        <v>370</v>
      </c>
      <c r="E91" s="10" t="s">
        <v>272</v>
      </c>
      <c r="F91" s="4"/>
      <c r="G91" s="10" t="s">
        <v>115</v>
      </c>
      <c r="H91" s="4"/>
      <c r="I91" s="10"/>
      <c r="J91" s="4" t="s">
        <v>373</v>
      </c>
      <c r="K91" s="4" t="s">
        <v>352</v>
      </c>
      <c r="M91" s="10"/>
      <c r="N91" s="10"/>
      <c r="O91" s="10"/>
    </row>
    <row r="92" spans="1:15" ht="15" customHeight="1" x14ac:dyDescent="0.25">
      <c r="A92" s="44">
        <v>13</v>
      </c>
      <c r="B92" s="44"/>
      <c r="C92" s="10" t="s">
        <v>97</v>
      </c>
      <c r="D92" s="10" t="s">
        <v>370</v>
      </c>
      <c r="E92" s="10" t="s">
        <v>272</v>
      </c>
      <c r="F92" s="4"/>
      <c r="G92" s="10" t="s">
        <v>115</v>
      </c>
      <c r="H92" s="4"/>
      <c r="I92" s="10"/>
      <c r="J92" s="4" t="s">
        <v>374</v>
      </c>
      <c r="K92" s="4" t="s">
        <v>151</v>
      </c>
      <c r="M92" s="10"/>
      <c r="N92" s="10"/>
      <c r="O92" s="10"/>
    </row>
    <row r="93" spans="1:15" ht="15" customHeight="1" x14ac:dyDescent="0.25">
      <c r="A93" s="44" t="s">
        <v>351</v>
      </c>
      <c r="B93" s="44"/>
      <c r="C93" s="10" t="s">
        <v>97</v>
      </c>
      <c r="D93" s="10" t="s">
        <v>1245</v>
      </c>
      <c r="E93" s="10" t="s">
        <v>272</v>
      </c>
      <c r="F93" s="4"/>
      <c r="G93" s="10" t="s">
        <v>115</v>
      </c>
      <c r="H93" s="4"/>
      <c r="I93" s="10"/>
      <c r="J93" s="4" t="s">
        <v>350</v>
      </c>
      <c r="K93" s="4" t="s">
        <v>352</v>
      </c>
      <c r="M93" s="10"/>
      <c r="N93" s="10"/>
      <c r="O93" s="10"/>
    </row>
    <row r="94" spans="1:15" ht="15" customHeight="1" x14ac:dyDescent="0.25">
      <c r="A94" s="44" t="s">
        <v>1255</v>
      </c>
      <c r="B94" s="44"/>
      <c r="C94" s="10" t="s">
        <v>97</v>
      </c>
      <c r="D94" s="10" t="s">
        <v>1245</v>
      </c>
      <c r="E94" s="10" t="s">
        <v>272</v>
      </c>
      <c r="F94" s="4"/>
      <c r="G94" s="10" t="s">
        <v>115</v>
      </c>
      <c r="H94" s="4"/>
      <c r="I94" s="10"/>
      <c r="J94" s="4" t="s">
        <v>315</v>
      </c>
      <c r="K94" s="4" t="s">
        <v>140</v>
      </c>
      <c r="M94" s="10"/>
      <c r="N94" s="10"/>
      <c r="O94" s="10"/>
    </row>
    <row r="95" spans="1:15" ht="15" customHeight="1" x14ac:dyDescent="0.25">
      <c r="A95" s="44" t="s">
        <v>833</v>
      </c>
      <c r="B95" s="44"/>
      <c r="C95" s="10" t="s">
        <v>97</v>
      </c>
      <c r="D95" s="10" t="s">
        <v>1243</v>
      </c>
      <c r="E95" s="10" t="s">
        <v>424</v>
      </c>
      <c r="F95" s="4"/>
      <c r="G95" s="10" t="s">
        <v>115</v>
      </c>
      <c r="H95" s="4"/>
      <c r="I95" s="10"/>
      <c r="J95" s="4" t="s">
        <v>832</v>
      </c>
      <c r="K95" s="4" t="s">
        <v>834</v>
      </c>
      <c r="M95" s="10"/>
      <c r="N95" s="10"/>
      <c r="O95" s="10"/>
    </row>
    <row r="96" spans="1:15" ht="15" customHeight="1" x14ac:dyDescent="0.25">
      <c r="A96" s="44">
        <v>13</v>
      </c>
      <c r="B96" s="44"/>
      <c r="C96" s="10" t="s">
        <v>97</v>
      </c>
      <c r="D96" s="10" t="s">
        <v>274</v>
      </c>
      <c r="E96" s="10" t="s">
        <v>273</v>
      </c>
      <c r="F96" s="4"/>
      <c r="G96" s="10" t="s">
        <v>115</v>
      </c>
      <c r="H96" s="4"/>
      <c r="I96" s="10"/>
      <c r="J96" s="4" t="s">
        <v>278</v>
      </c>
      <c r="K96" s="4" t="s">
        <v>151</v>
      </c>
      <c r="M96" s="10"/>
      <c r="N96" s="10"/>
      <c r="O96" s="10"/>
    </row>
    <row r="97" spans="1:15" ht="15" customHeight="1" x14ac:dyDescent="0.25">
      <c r="A97" s="44">
        <v>14</v>
      </c>
      <c r="B97" s="44"/>
      <c r="C97" s="10" t="s">
        <v>97</v>
      </c>
      <c r="D97" s="10" t="s">
        <v>1245</v>
      </c>
      <c r="E97" s="10" t="s">
        <v>272</v>
      </c>
      <c r="F97" s="4"/>
      <c r="G97" s="10" t="s">
        <v>115</v>
      </c>
      <c r="H97" s="4"/>
      <c r="I97" s="10"/>
      <c r="J97" s="4" t="s">
        <v>314</v>
      </c>
      <c r="K97" s="4" t="s">
        <v>140</v>
      </c>
      <c r="M97" s="10"/>
      <c r="N97" s="10"/>
      <c r="O97" s="10"/>
    </row>
    <row r="98" spans="1:15" ht="15" customHeight="1" x14ac:dyDescent="0.25">
      <c r="A98" s="45">
        <v>26</v>
      </c>
      <c r="B98" s="45"/>
      <c r="C98" s="8" t="s">
        <v>97</v>
      </c>
      <c r="D98" s="8" t="s">
        <v>1245</v>
      </c>
      <c r="E98" s="8" t="s">
        <v>272</v>
      </c>
      <c r="F98" s="8"/>
      <c r="G98" s="8" t="s">
        <v>115</v>
      </c>
      <c r="H98" s="8"/>
      <c r="I98" s="8"/>
      <c r="J98" s="8" t="s">
        <v>317</v>
      </c>
      <c r="K98" s="8" t="s">
        <v>134</v>
      </c>
      <c r="M98" s="8"/>
      <c r="N98" s="8"/>
      <c r="O98" s="8"/>
    </row>
    <row r="99" spans="1:15" ht="15" customHeight="1" x14ac:dyDescent="0.25">
      <c r="A99" s="45">
        <v>26</v>
      </c>
      <c r="B99" s="45"/>
      <c r="C99" s="8" t="s">
        <v>97</v>
      </c>
      <c r="D99" s="8" t="s">
        <v>1245</v>
      </c>
      <c r="E99" s="8" t="s">
        <v>272</v>
      </c>
      <c r="F99" s="8"/>
      <c r="G99" s="8" t="s">
        <v>115</v>
      </c>
      <c r="H99" s="8"/>
      <c r="I99" s="8"/>
      <c r="J99" s="8" t="s">
        <v>319</v>
      </c>
      <c r="K99" s="8" t="s">
        <v>134</v>
      </c>
      <c r="M99" s="8"/>
      <c r="N99" s="8"/>
      <c r="O99" s="8"/>
    </row>
    <row r="100" spans="1:15" ht="15" customHeight="1" x14ac:dyDescent="0.25">
      <c r="A100" s="45">
        <v>26</v>
      </c>
      <c r="B100" s="45"/>
      <c r="C100" s="8" t="s">
        <v>97</v>
      </c>
      <c r="D100" s="8" t="s">
        <v>1245</v>
      </c>
      <c r="E100" s="8" t="s">
        <v>272</v>
      </c>
      <c r="F100" s="8"/>
      <c r="G100" s="8" t="s">
        <v>115</v>
      </c>
      <c r="H100" s="8"/>
      <c r="I100" s="8"/>
      <c r="J100" s="8" t="s">
        <v>365</v>
      </c>
      <c r="K100" s="8" t="s">
        <v>134</v>
      </c>
      <c r="M100" s="8"/>
      <c r="N100" s="8"/>
      <c r="O100" s="8"/>
    </row>
    <row r="101" spans="1:15" ht="15" customHeight="1" x14ac:dyDescent="0.25">
      <c r="A101" s="45">
        <v>26</v>
      </c>
      <c r="B101" s="45"/>
      <c r="C101" s="8" t="s">
        <v>97</v>
      </c>
      <c r="D101" s="8" t="s">
        <v>1245</v>
      </c>
      <c r="E101" s="8" t="s">
        <v>272</v>
      </c>
      <c r="F101" s="8"/>
      <c r="G101" s="8" t="s">
        <v>115</v>
      </c>
      <c r="H101" s="8"/>
      <c r="I101" s="8"/>
      <c r="J101" s="8" t="s">
        <v>318</v>
      </c>
      <c r="K101" s="8" t="s">
        <v>134</v>
      </c>
      <c r="M101" s="8"/>
      <c r="N101" s="8"/>
      <c r="O101" s="8"/>
    </row>
    <row r="102" spans="1:15" ht="15" customHeight="1" x14ac:dyDescent="0.25">
      <c r="A102" s="44">
        <v>22</v>
      </c>
      <c r="B102" s="44"/>
      <c r="C102" s="10" t="s">
        <v>97</v>
      </c>
      <c r="D102" s="10" t="s">
        <v>370</v>
      </c>
      <c r="E102" s="10" t="s">
        <v>272</v>
      </c>
      <c r="F102" s="4"/>
      <c r="G102" s="10" t="s">
        <v>179</v>
      </c>
      <c r="H102" s="4"/>
      <c r="I102" s="10"/>
      <c r="J102" s="4" t="s">
        <v>372</v>
      </c>
      <c r="K102" s="4" t="s">
        <v>112</v>
      </c>
      <c r="M102" s="10"/>
      <c r="N102" s="10"/>
      <c r="O102" s="10"/>
    </row>
    <row r="103" spans="1:15" ht="15" customHeight="1" x14ac:dyDescent="0.25">
      <c r="A103" s="46">
        <v>22</v>
      </c>
      <c r="B103" s="46"/>
      <c r="C103" s="10" t="s">
        <v>97</v>
      </c>
      <c r="D103" s="13" t="s">
        <v>1243</v>
      </c>
      <c r="E103" s="13" t="s">
        <v>424</v>
      </c>
      <c r="F103" s="7"/>
      <c r="G103" s="13" t="s">
        <v>179</v>
      </c>
      <c r="H103" s="7"/>
      <c r="I103" s="13"/>
      <c r="J103" s="7" t="s">
        <v>424</v>
      </c>
      <c r="K103" s="7" t="s">
        <v>112</v>
      </c>
      <c r="M103" s="13"/>
      <c r="N103" s="13"/>
      <c r="O103" s="13" t="s">
        <v>821</v>
      </c>
    </row>
    <row r="104" spans="1:15" ht="15" customHeight="1" x14ac:dyDescent="0.25">
      <c r="A104" s="44">
        <v>8</v>
      </c>
      <c r="B104" s="44"/>
      <c r="C104" s="10" t="s">
        <v>97</v>
      </c>
      <c r="D104" s="10" t="s">
        <v>1246</v>
      </c>
      <c r="E104" s="10" t="s">
        <v>172</v>
      </c>
      <c r="F104" s="4"/>
      <c r="G104" s="10" t="s">
        <v>179</v>
      </c>
      <c r="H104" s="4"/>
      <c r="I104" s="10"/>
      <c r="J104" s="4" t="s">
        <v>460</v>
      </c>
      <c r="K104" s="4" t="s">
        <v>174</v>
      </c>
      <c r="M104" s="10"/>
      <c r="N104" s="10"/>
      <c r="O104" s="10"/>
    </row>
    <row r="105" spans="1:15" ht="15" customHeight="1" x14ac:dyDescent="0.25">
      <c r="A105" s="44">
        <v>22</v>
      </c>
      <c r="B105" s="44"/>
      <c r="C105" s="10" t="s">
        <v>97</v>
      </c>
      <c r="D105" s="10" t="s">
        <v>293</v>
      </c>
      <c r="E105" s="10" t="s">
        <v>273</v>
      </c>
      <c r="F105" s="4"/>
      <c r="G105" s="10" t="s">
        <v>179</v>
      </c>
      <c r="H105" s="4"/>
      <c r="I105" s="10"/>
      <c r="J105" s="4" t="s">
        <v>284</v>
      </c>
      <c r="K105" s="4" t="s">
        <v>112</v>
      </c>
      <c r="M105" s="10"/>
      <c r="N105" s="10"/>
      <c r="O105" s="10"/>
    </row>
    <row r="106" spans="1:15" ht="15" customHeight="1" x14ac:dyDescent="0.25">
      <c r="A106" s="44">
        <v>6</v>
      </c>
      <c r="B106" s="44"/>
      <c r="C106" s="10" t="s">
        <v>97</v>
      </c>
      <c r="D106" s="10" t="s">
        <v>293</v>
      </c>
      <c r="E106" s="10" t="s">
        <v>1244</v>
      </c>
      <c r="F106" s="4"/>
      <c r="G106" s="10" t="s">
        <v>179</v>
      </c>
      <c r="H106" s="4"/>
      <c r="I106" s="10"/>
      <c r="J106" s="4" t="s">
        <v>305</v>
      </c>
      <c r="K106" s="4" t="s">
        <v>119</v>
      </c>
      <c r="M106" s="10"/>
      <c r="N106" s="10"/>
      <c r="O106" s="10" t="s">
        <v>306</v>
      </c>
    </row>
    <row r="107" spans="1:15" ht="15" customHeight="1" x14ac:dyDescent="0.25">
      <c r="A107" s="44">
        <v>13</v>
      </c>
      <c r="B107" s="44"/>
      <c r="C107" s="10" t="s">
        <v>97</v>
      </c>
      <c r="D107" s="8" t="s">
        <v>370</v>
      </c>
      <c r="E107" s="10" t="s">
        <v>272</v>
      </c>
      <c r="F107" s="4"/>
      <c r="G107" s="10"/>
      <c r="H107" s="4"/>
      <c r="I107" s="10"/>
      <c r="J107" s="4" t="s">
        <v>376</v>
      </c>
      <c r="K107" s="4" t="s">
        <v>151</v>
      </c>
      <c r="M107" s="10"/>
      <c r="N107" s="10"/>
      <c r="O107" s="10"/>
    </row>
    <row r="108" spans="1:15" ht="15" customHeight="1" x14ac:dyDescent="0.25">
      <c r="A108" s="44">
        <v>13</v>
      </c>
      <c r="B108" s="44"/>
      <c r="C108" s="10" t="s">
        <v>97</v>
      </c>
      <c r="D108" s="8" t="s">
        <v>370</v>
      </c>
      <c r="E108" s="10" t="s">
        <v>272</v>
      </c>
      <c r="F108" s="4"/>
      <c r="G108" s="10"/>
      <c r="H108" s="4"/>
      <c r="I108" s="10"/>
      <c r="J108" s="4" t="s">
        <v>377</v>
      </c>
      <c r="K108" s="4" t="s">
        <v>151</v>
      </c>
      <c r="M108" s="10"/>
      <c r="N108" s="10"/>
      <c r="O108" s="10"/>
    </row>
    <row r="109" spans="1:15" ht="15" customHeight="1" x14ac:dyDescent="0.25">
      <c r="A109" s="44">
        <v>13</v>
      </c>
      <c r="B109" s="44"/>
      <c r="C109" s="10" t="s">
        <v>97</v>
      </c>
      <c r="D109" s="8" t="s">
        <v>274</v>
      </c>
      <c r="E109" s="10" t="s">
        <v>272</v>
      </c>
      <c r="F109" s="4"/>
      <c r="G109" s="10"/>
      <c r="H109" s="4"/>
      <c r="I109" s="10"/>
      <c r="J109" s="4" t="s">
        <v>303</v>
      </c>
      <c r="K109" s="4" t="s">
        <v>151</v>
      </c>
      <c r="M109" s="10"/>
      <c r="N109" s="10"/>
      <c r="O109" s="10"/>
    </row>
  </sheetData>
  <autoFilter ref="A1:O109" xr:uid="{A94E9508-6BF6-8C4A-AE79-012673B93BD7}"/>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025A1-E60C-4445-B16F-04B60C6116E7}">
  <dimension ref="A1:P69"/>
  <sheetViews>
    <sheetView workbookViewId="0">
      <pane ySplit="1" topLeftCell="A2" activePane="bottomLeft" state="frozen"/>
      <selection activeCell="D5" sqref="D5"/>
      <selection pane="bottomLeft" activeCell="D5" sqref="D5"/>
    </sheetView>
  </sheetViews>
  <sheetFormatPr defaultColWidth="11" defaultRowHeight="15" customHeight="1" x14ac:dyDescent="0.25"/>
  <cols>
    <col min="1" max="1" width="9.875" style="48" customWidth="1"/>
    <col min="2" max="3" width="10.125" style="48" customWidth="1"/>
    <col min="4" max="9" width="18.375" style="14" customWidth="1"/>
    <col min="10" max="10" width="52.125" style="14" customWidth="1"/>
    <col min="11" max="16" width="18.375" style="14" customWidth="1"/>
    <col min="17" max="16384" width="11" style="14"/>
  </cols>
  <sheetData>
    <row r="1" spans="1:16" ht="39.75" customHeight="1" x14ac:dyDescent="0.25">
      <c r="A1" s="43" t="s">
        <v>0</v>
      </c>
      <c r="B1" s="43" t="s">
        <v>1160</v>
      </c>
      <c r="C1" s="43" t="s">
        <v>78</v>
      </c>
      <c r="D1" s="1" t="s">
        <v>79</v>
      </c>
      <c r="E1" s="1" t="s">
        <v>80</v>
      </c>
      <c r="F1" s="1" t="s">
        <v>81</v>
      </c>
      <c r="G1" s="1" t="s">
        <v>82</v>
      </c>
      <c r="H1" s="1" t="s">
        <v>1167</v>
      </c>
      <c r="I1" s="1" t="s">
        <v>77</v>
      </c>
      <c r="J1" s="1" t="s">
        <v>84</v>
      </c>
      <c r="K1" s="1" t="s">
        <v>88</v>
      </c>
      <c r="L1" s="1" t="s">
        <v>5</v>
      </c>
      <c r="M1" s="1" t="s">
        <v>1163</v>
      </c>
      <c r="N1" s="1" t="s">
        <v>1161</v>
      </c>
      <c r="O1" s="1" t="s">
        <v>1162</v>
      </c>
      <c r="P1" s="1" t="s">
        <v>86</v>
      </c>
    </row>
    <row r="2" spans="1:16" ht="15" customHeight="1" x14ac:dyDescent="0.25">
      <c r="A2" s="44" t="s">
        <v>409</v>
      </c>
      <c r="B2" s="44" t="b" cm="1">
        <f t="array" ref="B2">_xlfn.LET(
  _xlpm.ids, VALUE(_xlfn.TEXTSPLIT(SUBSTITUTE(A2,",",";"),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 s="44" t="s">
        <v>98</v>
      </c>
      <c r="D2" s="10" t="s">
        <v>98</v>
      </c>
      <c r="E2" s="10"/>
      <c r="F2" s="10"/>
      <c r="G2" s="10" t="s">
        <v>1256</v>
      </c>
      <c r="H2" s="10"/>
      <c r="I2" s="10"/>
      <c r="J2" s="4" t="s">
        <v>408</v>
      </c>
      <c r="K2" s="4" t="s">
        <v>410</v>
      </c>
      <c r="L2" s="10" t="s">
        <v>115</v>
      </c>
      <c r="M2" s="10"/>
      <c r="N2" s="10"/>
    </row>
    <row r="3" spans="1:16" ht="15" customHeight="1" x14ac:dyDescent="0.25">
      <c r="A3" s="45">
        <v>31</v>
      </c>
      <c r="B3" s="45" t="b" cm="1">
        <f t="array" ref="B3">_xlfn.LET(
  _xlpm.ids, VALUE(_xlfn.TEXTSPLIT(SUBSTITUTE(A3,",",";"),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 s="44" t="s">
        <v>98</v>
      </c>
      <c r="D3" s="8" t="s">
        <v>98</v>
      </c>
      <c r="E3" s="8"/>
      <c r="F3" s="8"/>
      <c r="G3" s="8" t="s">
        <v>1257</v>
      </c>
      <c r="H3" s="8"/>
      <c r="I3" s="8"/>
      <c r="J3" s="8" t="s">
        <v>411</v>
      </c>
      <c r="K3" s="8" t="s">
        <v>177</v>
      </c>
      <c r="L3" s="8" t="s">
        <v>115</v>
      </c>
      <c r="M3" s="8"/>
      <c r="N3" s="8"/>
    </row>
    <row r="4" spans="1:16" ht="15" customHeight="1" x14ac:dyDescent="0.25">
      <c r="A4" s="55">
        <v>16</v>
      </c>
      <c r="B4" s="55" t="b" cm="1">
        <f t="array" ref="B4">_xlfn.LET(
  _xlpm.ids, VALUE(_xlfn.TEXTSPLIT(SUBSTITUTE(A4,",",";"),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 s="44" t="s">
        <v>98</v>
      </c>
      <c r="D4" s="15" t="s">
        <v>98</v>
      </c>
      <c r="E4" s="15" t="s">
        <v>1257</v>
      </c>
      <c r="F4" s="15"/>
      <c r="G4" s="15" t="s">
        <v>1258</v>
      </c>
      <c r="H4" s="15"/>
      <c r="I4" s="15"/>
      <c r="J4" s="15" t="s">
        <v>428</v>
      </c>
      <c r="K4" s="15" t="s">
        <v>244</v>
      </c>
      <c r="L4" s="15" t="s">
        <v>115</v>
      </c>
      <c r="M4" s="15"/>
      <c r="N4" s="15"/>
    </row>
    <row r="5" spans="1:16" ht="15" customHeight="1" x14ac:dyDescent="0.25">
      <c r="A5" s="44" t="s">
        <v>1259</v>
      </c>
      <c r="B5" s="44" t="str" cm="1">
        <f t="array" ref="B5">_xlfn.LET(
  _xlpm.ids, VALUE(_xlfn.TEXTSPLIT(SUBSTITUTE(A5,",",";"),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5" s="44" t="s">
        <v>98</v>
      </c>
      <c r="D5" s="10" t="s">
        <v>98</v>
      </c>
      <c r="E5" s="10"/>
      <c r="F5" s="10"/>
      <c r="G5" s="10" t="s">
        <v>1256</v>
      </c>
      <c r="H5" s="10"/>
      <c r="I5" s="10"/>
      <c r="J5" s="4" t="s">
        <v>412</v>
      </c>
      <c r="K5" s="4" t="s">
        <v>1260</v>
      </c>
      <c r="L5" s="10" t="s">
        <v>115</v>
      </c>
      <c r="M5" s="10"/>
      <c r="N5" s="10"/>
    </row>
    <row r="6" spans="1:16" ht="15" customHeight="1" x14ac:dyDescent="0.25">
      <c r="A6" s="46">
        <v>13</v>
      </c>
      <c r="B6" s="46" t="b" cm="1">
        <f t="array" ref="B6">_xlfn.LET(
  _xlpm.ids, VALUE(_xlfn.TEXTSPLIT(SUBSTITUTE(A6,",",";"),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 s="46" t="s">
        <v>98</v>
      </c>
      <c r="D6" s="13" t="s">
        <v>98</v>
      </c>
      <c r="E6" s="13"/>
      <c r="F6" s="13"/>
      <c r="G6" s="13" t="s">
        <v>1261</v>
      </c>
      <c r="H6" s="13"/>
      <c r="I6" s="13"/>
      <c r="J6" s="7" t="s">
        <v>150</v>
      </c>
      <c r="K6" s="7" t="s">
        <v>151</v>
      </c>
      <c r="L6" s="13"/>
      <c r="M6" s="13"/>
      <c r="N6" s="13"/>
    </row>
    <row r="7" spans="1:16" ht="15" customHeight="1" x14ac:dyDescent="0.25">
      <c r="A7" s="44">
        <v>13</v>
      </c>
      <c r="B7" s="44" t="b" cm="1">
        <f t="array" ref="B7">_xlfn.LET(
  _xlpm.ids, VALUE(_xlfn.TEXTSPLIT(SUBSTITUTE(A7,",",";"),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7" s="44" t="s">
        <v>98</v>
      </c>
      <c r="D7" s="10" t="s">
        <v>98</v>
      </c>
      <c r="E7" s="10"/>
      <c r="F7" s="10"/>
      <c r="G7" s="8" t="s">
        <v>1256</v>
      </c>
      <c r="H7" s="8"/>
      <c r="I7" s="8"/>
      <c r="J7" s="4" t="s">
        <v>425</v>
      </c>
      <c r="K7" s="4" t="s">
        <v>151</v>
      </c>
      <c r="L7" s="10"/>
      <c r="M7" s="10"/>
      <c r="N7" s="10"/>
    </row>
    <row r="8" spans="1:16" ht="15" customHeight="1" x14ac:dyDescent="0.25">
      <c r="A8" s="45">
        <v>3</v>
      </c>
      <c r="B8" s="45" t="b" cm="1">
        <f t="array" ref="B8">_xlfn.LET(
  _xlpm.ids, VALUE(_xlfn.TEXTSPLIT(SUBSTITUTE(A8,",",";"),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8" s="45" t="s">
        <v>98</v>
      </c>
      <c r="D8" s="8" t="s">
        <v>98</v>
      </c>
      <c r="E8" s="8"/>
      <c r="F8" s="8"/>
      <c r="G8" s="8" t="s">
        <v>1262</v>
      </c>
      <c r="H8" s="8"/>
      <c r="I8" s="8"/>
      <c r="J8" s="4" t="s">
        <v>683</v>
      </c>
      <c r="K8" s="4" t="s">
        <v>122</v>
      </c>
      <c r="L8" s="8" t="s">
        <v>115</v>
      </c>
      <c r="M8" s="8"/>
      <c r="N8" s="8"/>
    </row>
    <row r="9" spans="1:16" ht="15" customHeight="1" x14ac:dyDescent="0.25">
      <c r="A9" s="44">
        <v>6</v>
      </c>
      <c r="B9" s="44" t="b" cm="1">
        <f t="array" ref="B9">_xlfn.LET(
  _xlpm.ids, VALUE(_xlfn.TEXTSPLIT(SUBSTITUTE(A9,",",";"),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9" s="44" t="s">
        <v>98</v>
      </c>
      <c r="D9" s="10" t="s">
        <v>98</v>
      </c>
      <c r="E9" s="10"/>
      <c r="F9" s="10"/>
      <c r="G9" s="10" t="s">
        <v>1256</v>
      </c>
      <c r="H9" s="10"/>
      <c r="I9" s="10"/>
      <c r="J9" s="4" t="s">
        <v>669</v>
      </c>
      <c r="K9" s="4" t="s">
        <v>119</v>
      </c>
      <c r="L9" s="10" t="s">
        <v>115</v>
      </c>
      <c r="M9" s="10"/>
      <c r="N9" s="10" t="s">
        <v>670</v>
      </c>
    </row>
    <row r="10" spans="1:16" ht="15" customHeight="1" x14ac:dyDescent="0.25">
      <c r="A10" s="44">
        <v>13</v>
      </c>
      <c r="B10" s="44" t="b" cm="1">
        <f t="array" ref="B10">_xlfn.LET(
  _xlpm.ids, VALUE(_xlfn.TEXTSPLIT(SUBSTITUTE(A10,",",";"),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0" s="44" t="s">
        <v>98</v>
      </c>
      <c r="D10" s="10" t="s">
        <v>98</v>
      </c>
      <c r="E10" s="10"/>
      <c r="F10" s="10"/>
      <c r="G10" s="8" t="s">
        <v>1256</v>
      </c>
      <c r="H10" s="8"/>
      <c r="I10" s="8"/>
      <c r="J10" s="4" t="s">
        <v>414</v>
      </c>
      <c r="K10" s="4" t="s">
        <v>151</v>
      </c>
      <c r="L10" s="10" t="s">
        <v>413</v>
      </c>
      <c r="M10" s="10"/>
      <c r="N10" s="10"/>
    </row>
    <row r="11" spans="1:16" ht="15" customHeight="1" x14ac:dyDescent="0.25">
      <c r="A11" s="44">
        <v>13</v>
      </c>
      <c r="B11" s="44" t="b" cm="1">
        <f t="array" ref="B11">_xlfn.LET(
  _xlpm.ids, VALUE(_xlfn.TEXTSPLIT(SUBSTITUTE(A11,",",";"),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1" s="44" t="s">
        <v>98</v>
      </c>
      <c r="D11" s="10" t="s">
        <v>98</v>
      </c>
      <c r="E11" s="10"/>
      <c r="F11" s="10"/>
      <c r="G11" s="8" t="s">
        <v>1256</v>
      </c>
      <c r="H11" s="8"/>
      <c r="I11" s="8"/>
      <c r="J11" s="4" t="s">
        <v>472</v>
      </c>
      <c r="K11" s="4" t="s">
        <v>151</v>
      </c>
      <c r="L11" s="10" t="s">
        <v>115</v>
      </c>
      <c r="M11" s="10"/>
      <c r="N11" s="10"/>
    </row>
    <row r="12" spans="1:16" ht="15" customHeight="1" x14ac:dyDescent="0.25">
      <c r="A12" s="55">
        <v>10</v>
      </c>
      <c r="B12" s="55" t="b" cm="1">
        <f t="array" ref="B12">_xlfn.LET(
  _xlpm.ids, VALUE(_xlfn.TEXTSPLIT(SUBSTITUTE(A12,",",";"),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2" s="55" t="s">
        <v>98</v>
      </c>
      <c r="D12" s="15" t="s">
        <v>98</v>
      </c>
      <c r="E12" s="8"/>
      <c r="F12" s="8"/>
      <c r="G12" s="15" t="s">
        <v>1257</v>
      </c>
      <c r="H12" s="15"/>
      <c r="I12" s="15"/>
      <c r="J12" s="15" t="s">
        <v>124</v>
      </c>
      <c r="K12" s="15" t="s">
        <v>148</v>
      </c>
      <c r="L12" s="15"/>
      <c r="M12" s="15"/>
      <c r="N12" s="15"/>
    </row>
    <row r="13" spans="1:16" ht="15" customHeight="1" x14ac:dyDescent="0.25">
      <c r="A13" s="44">
        <v>13</v>
      </c>
      <c r="B13" s="44" t="b" cm="1">
        <f t="array" ref="B13">_xlfn.LET(
  _xlpm.ids, VALUE(_xlfn.TEXTSPLIT(SUBSTITUTE(A13,",",";"),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3" s="44" t="s">
        <v>98</v>
      </c>
      <c r="D13" s="10" t="s">
        <v>98</v>
      </c>
      <c r="E13" s="10"/>
      <c r="F13" s="10"/>
      <c r="G13" s="8" t="s">
        <v>1256</v>
      </c>
      <c r="H13" s="8"/>
      <c r="I13" s="8"/>
      <c r="J13" s="4" t="s">
        <v>473</v>
      </c>
      <c r="K13" s="4" t="s">
        <v>151</v>
      </c>
      <c r="L13" s="10" t="s">
        <v>115</v>
      </c>
      <c r="M13" s="10"/>
      <c r="N13" s="10"/>
    </row>
    <row r="14" spans="1:16" ht="15" customHeight="1" x14ac:dyDescent="0.25">
      <c r="A14" s="45">
        <v>26</v>
      </c>
      <c r="B14" s="45" t="b" cm="1">
        <f t="array" ref="B14">_xlfn.LET(
  _xlpm.ids, VALUE(_xlfn.TEXTSPLIT(SUBSTITUTE(A14,",",";"),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4" s="45" t="s">
        <v>98</v>
      </c>
      <c r="D14" s="8" t="s">
        <v>98</v>
      </c>
      <c r="E14" s="8"/>
      <c r="F14" s="8"/>
      <c r="G14" s="8" t="s">
        <v>1263</v>
      </c>
      <c r="H14" s="8"/>
      <c r="I14" s="8"/>
      <c r="J14" s="8" t="s">
        <v>138</v>
      </c>
      <c r="K14" s="8" t="s">
        <v>134</v>
      </c>
      <c r="L14" s="8" t="s">
        <v>115</v>
      </c>
      <c r="M14" s="8"/>
      <c r="N14" s="8"/>
    </row>
    <row r="15" spans="1:16" ht="15" customHeight="1" x14ac:dyDescent="0.25">
      <c r="A15" s="44">
        <v>19</v>
      </c>
      <c r="B15" s="44" t="b" cm="1">
        <f t="array" ref="B15">_xlfn.LET(
  _xlpm.ids, VALUE(_xlfn.TEXTSPLIT(SUBSTITUTE(A15,",",";"),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5" s="44" t="s">
        <v>98</v>
      </c>
      <c r="D15" s="10" t="s">
        <v>98</v>
      </c>
      <c r="E15" s="10"/>
      <c r="F15" s="10"/>
      <c r="G15" s="10" t="s">
        <v>1256</v>
      </c>
      <c r="H15" s="10"/>
      <c r="I15" s="10"/>
      <c r="J15" s="4" t="s">
        <v>424</v>
      </c>
      <c r="K15" s="4" t="s">
        <v>309</v>
      </c>
      <c r="L15" s="10" t="s">
        <v>115</v>
      </c>
      <c r="M15" s="10"/>
      <c r="N15" s="10" t="s">
        <v>280</v>
      </c>
    </row>
    <row r="16" spans="1:16" ht="15" customHeight="1" x14ac:dyDescent="0.25">
      <c r="A16" s="44" t="s">
        <v>166</v>
      </c>
      <c r="B16" s="44" t="b" cm="1">
        <f t="array" ref="B16">_xlfn.LET(
  _xlpm.ids, VALUE(_xlfn.TEXTSPLIT(SUBSTITUTE(A16,",",";"),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6" s="44" t="s">
        <v>98</v>
      </c>
      <c r="D16" s="10" t="s">
        <v>98</v>
      </c>
      <c r="E16" s="10"/>
      <c r="F16" s="10"/>
      <c r="G16" s="10" t="s">
        <v>1256</v>
      </c>
      <c r="H16" s="10"/>
      <c r="I16" s="10"/>
      <c r="J16" s="4" t="s">
        <v>165</v>
      </c>
      <c r="K16" s="4" t="s">
        <v>167</v>
      </c>
      <c r="L16" s="10" t="s">
        <v>115</v>
      </c>
      <c r="M16" s="10"/>
      <c r="N16" s="10"/>
    </row>
    <row r="17" spans="1:14" ht="15" customHeight="1" x14ac:dyDescent="0.25">
      <c r="A17" s="44">
        <v>15</v>
      </c>
      <c r="B17" s="44" t="b" cm="1">
        <f t="array" ref="B17">_xlfn.LET(
  _xlpm.ids, VALUE(_xlfn.TEXTSPLIT(SUBSTITUTE(A17,",",";"),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7" s="44" t="s">
        <v>98</v>
      </c>
      <c r="D17" s="10" t="s">
        <v>98</v>
      </c>
      <c r="E17" s="10"/>
      <c r="F17" s="10"/>
      <c r="G17" s="10" t="s">
        <v>1256</v>
      </c>
      <c r="H17" s="10"/>
      <c r="I17" s="10"/>
      <c r="J17" s="4" t="s">
        <v>426</v>
      </c>
      <c r="K17" s="4" t="s">
        <v>153</v>
      </c>
      <c r="L17" s="10"/>
      <c r="M17" s="10"/>
      <c r="N17" s="10"/>
    </row>
    <row r="18" spans="1:14" ht="15" customHeight="1" x14ac:dyDescent="0.25">
      <c r="A18" s="45" t="s">
        <v>126</v>
      </c>
      <c r="B18" s="45" t="b" cm="1">
        <f t="array" ref="B18">_xlfn.LET(
  _xlpm.ids, VALUE(_xlfn.TEXTSPLIT(SUBSTITUTE(A18,",",";"),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18" s="45" t="s">
        <v>98</v>
      </c>
      <c r="D18" s="8" t="s">
        <v>98</v>
      </c>
      <c r="E18" s="8"/>
      <c r="F18" s="8"/>
      <c r="G18" s="8" t="s">
        <v>1263</v>
      </c>
      <c r="H18" s="8"/>
      <c r="I18" s="8"/>
      <c r="J18" s="4" t="s">
        <v>125</v>
      </c>
      <c r="K18" s="4" t="s">
        <v>127</v>
      </c>
      <c r="L18" s="8" t="s">
        <v>124</v>
      </c>
      <c r="M18" s="8"/>
      <c r="N18" s="8"/>
    </row>
    <row r="19" spans="1:14" ht="15" customHeight="1" x14ac:dyDescent="0.25">
      <c r="A19" s="55">
        <v>16</v>
      </c>
      <c r="B19" s="55" t="b" cm="1">
        <f t="array" ref="B19">_xlfn.LET(
  _xlpm.ids, VALUE(_xlfn.TEXTSPLIT(SUBSTITUTE(A19,",",";"),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19" s="55" t="s">
        <v>98</v>
      </c>
      <c r="D19" s="15" t="s">
        <v>98</v>
      </c>
      <c r="E19" s="15" t="s">
        <v>1257</v>
      </c>
      <c r="F19" s="15"/>
      <c r="G19" s="15" t="s">
        <v>1258</v>
      </c>
      <c r="H19" s="15"/>
      <c r="I19" s="15"/>
      <c r="J19" s="15" t="s">
        <v>429</v>
      </c>
      <c r="K19" s="15" t="s">
        <v>244</v>
      </c>
      <c r="L19" s="15" t="s">
        <v>115</v>
      </c>
      <c r="M19" s="15"/>
      <c r="N19" s="15"/>
    </row>
    <row r="20" spans="1:14" ht="15" customHeight="1" x14ac:dyDescent="0.25">
      <c r="A20" s="44">
        <v>19</v>
      </c>
      <c r="B20" s="44" t="b" cm="1">
        <f t="array" ref="B20">_xlfn.LET(
  _xlpm.ids, VALUE(_xlfn.TEXTSPLIT(SUBSTITUTE(A20,",",";"),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0" s="44" t="s">
        <v>98</v>
      </c>
      <c r="D20" s="10" t="s">
        <v>98</v>
      </c>
      <c r="E20" s="10"/>
      <c r="F20" s="10"/>
      <c r="G20" s="10" t="s">
        <v>1263</v>
      </c>
      <c r="H20" s="10"/>
      <c r="I20" s="10"/>
      <c r="J20" s="4" t="s">
        <v>430</v>
      </c>
      <c r="K20" s="4" t="s">
        <v>309</v>
      </c>
      <c r="L20" s="10" t="s">
        <v>175</v>
      </c>
      <c r="M20" s="10"/>
      <c r="N20" s="10"/>
    </row>
    <row r="21" spans="1:14" ht="15" customHeight="1" x14ac:dyDescent="0.25">
      <c r="A21" s="44">
        <v>19</v>
      </c>
      <c r="B21" s="44" t="b" cm="1">
        <f t="array" ref="B21">_xlfn.LET(
  _xlpm.ids, VALUE(_xlfn.TEXTSPLIT(SUBSTITUTE(A21,",",";"),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1" s="44" t="s">
        <v>98</v>
      </c>
      <c r="D21" s="10" t="s">
        <v>98</v>
      </c>
      <c r="E21" s="10"/>
      <c r="F21" s="10"/>
      <c r="G21" s="10" t="s">
        <v>1263</v>
      </c>
      <c r="H21" s="10"/>
      <c r="I21" s="10"/>
      <c r="J21" s="4" t="s">
        <v>431</v>
      </c>
      <c r="K21" s="4" t="s">
        <v>309</v>
      </c>
      <c r="L21" s="10" t="s">
        <v>175</v>
      </c>
      <c r="M21" s="10"/>
      <c r="N21" s="10"/>
    </row>
    <row r="22" spans="1:14" ht="15" customHeight="1" x14ac:dyDescent="0.25">
      <c r="A22" s="45">
        <v>4</v>
      </c>
      <c r="B22" s="45" t="b" cm="1">
        <f t="array" ref="B22">_xlfn.LET(
  _xlpm.ids, VALUE(_xlfn.TEXTSPLIT(SUBSTITUTE(A22,",",";"),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2" s="45" t="s">
        <v>98</v>
      </c>
      <c r="D22" s="8" t="s">
        <v>98</v>
      </c>
      <c r="E22" s="8" t="s">
        <v>98</v>
      </c>
      <c r="F22" s="8"/>
      <c r="G22" s="8" t="s">
        <v>1261</v>
      </c>
      <c r="H22" s="8"/>
      <c r="I22" s="8"/>
      <c r="J22" s="4" t="s">
        <v>396</v>
      </c>
      <c r="K22" s="4" t="s">
        <v>247</v>
      </c>
      <c r="L22" s="8" t="s">
        <v>115</v>
      </c>
      <c r="M22" s="8"/>
      <c r="N22" s="8" t="s">
        <v>397</v>
      </c>
    </row>
    <row r="23" spans="1:14" ht="15" customHeight="1" x14ac:dyDescent="0.25">
      <c r="A23" s="45">
        <v>4</v>
      </c>
      <c r="B23" s="45" t="b" cm="1">
        <f t="array" ref="B23">_xlfn.LET(
  _xlpm.ids, VALUE(_xlfn.TEXTSPLIT(SUBSTITUTE(A23,",",";"),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3" s="45" t="s">
        <v>98</v>
      </c>
      <c r="D23" s="8" t="s">
        <v>98</v>
      </c>
      <c r="E23" s="8" t="s">
        <v>98</v>
      </c>
      <c r="F23" s="8"/>
      <c r="G23" s="8" t="s">
        <v>1261</v>
      </c>
      <c r="H23" s="8"/>
      <c r="I23" s="8"/>
      <c r="J23" s="4" t="s">
        <v>450</v>
      </c>
      <c r="K23" s="4" t="s">
        <v>247</v>
      </c>
      <c r="L23" s="8" t="s">
        <v>115</v>
      </c>
      <c r="M23" s="8"/>
      <c r="N23" s="8"/>
    </row>
    <row r="24" spans="1:14" ht="15" customHeight="1" x14ac:dyDescent="0.25">
      <c r="A24" s="55">
        <v>16</v>
      </c>
      <c r="B24" s="55" t="b" cm="1">
        <f t="array" ref="B24">_xlfn.LET(
  _xlpm.ids, VALUE(_xlfn.TEXTSPLIT(SUBSTITUTE(A24,",",";"),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4" s="55" t="s">
        <v>98</v>
      </c>
      <c r="D24" s="15" t="s">
        <v>98</v>
      </c>
      <c r="E24" s="15" t="s">
        <v>1257</v>
      </c>
      <c r="F24" s="15"/>
      <c r="G24" s="15" t="s">
        <v>1258</v>
      </c>
      <c r="H24" s="15"/>
      <c r="I24" s="15"/>
      <c r="J24" s="15" t="s">
        <v>432</v>
      </c>
      <c r="K24" s="15" t="s">
        <v>244</v>
      </c>
      <c r="L24" s="15" t="s">
        <v>115</v>
      </c>
      <c r="M24" s="15"/>
      <c r="N24" s="15"/>
    </row>
    <row r="25" spans="1:14" ht="15" customHeight="1" x14ac:dyDescent="0.25">
      <c r="A25" s="47">
        <v>31</v>
      </c>
      <c r="B25" s="47" t="b" cm="1">
        <f t="array" ref="B25">_xlfn.LET(
  _xlpm.ids, VALUE(_xlfn.TEXTSPLIT(SUBSTITUTE(A25,",",";"),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5" s="47" t="s">
        <v>98</v>
      </c>
      <c r="D25" s="24" t="s">
        <v>98</v>
      </c>
      <c r="E25" s="24"/>
      <c r="F25" s="24"/>
      <c r="G25" s="24"/>
      <c r="H25" s="24"/>
      <c r="I25" s="24"/>
      <c r="J25" s="21" t="s">
        <v>1264</v>
      </c>
      <c r="K25" s="21" t="s">
        <v>129</v>
      </c>
      <c r="L25" s="24" t="s">
        <v>115</v>
      </c>
      <c r="M25" s="23"/>
      <c r="N25" s="21"/>
    </row>
    <row r="26" spans="1:14" ht="15" customHeight="1" x14ac:dyDescent="0.25">
      <c r="A26" s="44" t="s">
        <v>1265</v>
      </c>
      <c r="B26" s="44" t="str" cm="1">
        <f t="array" ref="B26">_xlfn.LET(
  _xlpm.ids, VALUE(_xlfn.TEXTSPLIT(SUBSTITUTE(A26,",",";"),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26" s="44" t="s">
        <v>98</v>
      </c>
      <c r="D26" s="10" t="s">
        <v>98</v>
      </c>
      <c r="E26" s="10"/>
      <c r="F26" s="10"/>
      <c r="G26" s="10" t="s">
        <v>1256</v>
      </c>
      <c r="H26" s="10"/>
      <c r="I26" s="10"/>
      <c r="J26" s="4" t="s">
        <v>415</v>
      </c>
      <c r="K26" s="4" t="s">
        <v>416</v>
      </c>
      <c r="L26" s="10" t="s">
        <v>175</v>
      </c>
      <c r="M26" s="10"/>
      <c r="N26" s="10"/>
    </row>
    <row r="27" spans="1:14" ht="15" customHeight="1" x14ac:dyDescent="0.25">
      <c r="A27" s="55">
        <v>10</v>
      </c>
      <c r="B27" s="55" t="b" cm="1">
        <f t="array" ref="B27">_xlfn.LET(
  _xlpm.ids, VALUE(_xlfn.TEXTSPLIT(SUBSTITUTE(A27,",",";"),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27" s="55" t="s">
        <v>98</v>
      </c>
      <c r="D27" s="15" t="s">
        <v>1266</v>
      </c>
      <c r="E27" s="15"/>
      <c r="F27" s="15"/>
      <c r="G27" s="10" t="s">
        <v>1261</v>
      </c>
      <c r="H27" s="10"/>
      <c r="I27" s="10"/>
      <c r="J27" s="15" t="s">
        <v>147</v>
      </c>
      <c r="K27" s="15" t="s">
        <v>148</v>
      </c>
      <c r="L27" s="15" t="s">
        <v>146</v>
      </c>
      <c r="M27" s="15"/>
      <c r="N27" s="15"/>
    </row>
    <row r="28" spans="1:14" ht="15" customHeight="1" x14ac:dyDescent="0.25">
      <c r="A28" s="44">
        <v>13</v>
      </c>
      <c r="B28" s="44" t="b" cm="1">
        <f t="array" ref="B28">_xlfn.LET(
  _xlpm.ids, VALUE(_xlfn.TEXTSPLIT(SUBSTITUTE(A28,",",";"),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28" s="44" t="s">
        <v>98</v>
      </c>
      <c r="D28" s="10" t="s">
        <v>98</v>
      </c>
      <c r="E28" s="10"/>
      <c r="F28" s="10"/>
      <c r="G28" s="8" t="s">
        <v>1256</v>
      </c>
      <c r="H28" s="8"/>
      <c r="I28" s="8"/>
      <c r="J28" s="4" t="s">
        <v>180</v>
      </c>
      <c r="K28" s="4" t="s">
        <v>151</v>
      </c>
      <c r="L28" s="10" t="s">
        <v>179</v>
      </c>
      <c r="M28" s="10"/>
      <c r="N28" s="10"/>
    </row>
    <row r="29" spans="1:14" ht="15" customHeight="1" x14ac:dyDescent="0.25">
      <c r="A29" s="44" t="s">
        <v>400</v>
      </c>
      <c r="B29" s="44" t="str" cm="1">
        <f t="array" ref="B29">_xlfn.LET(
  _xlpm.ids, VALUE(_xlfn.TEXTSPLIT(SUBSTITUTE(A29,",",";"),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29" s="44" t="s">
        <v>98</v>
      </c>
      <c r="D29" s="10" t="s">
        <v>98</v>
      </c>
      <c r="E29" s="10"/>
      <c r="F29" s="10"/>
      <c r="G29" s="10" t="s">
        <v>1261</v>
      </c>
      <c r="H29" s="10"/>
      <c r="I29" s="10"/>
      <c r="J29" s="4" t="s">
        <v>399</v>
      </c>
      <c r="K29" s="4" t="s">
        <v>401</v>
      </c>
      <c r="L29" s="10"/>
      <c r="M29" s="10"/>
      <c r="N29" s="10"/>
    </row>
    <row r="30" spans="1:14" ht="15" customHeight="1" x14ac:dyDescent="0.25">
      <c r="A30" s="45">
        <v>26</v>
      </c>
      <c r="B30" s="45" t="b" cm="1">
        <f t="array" ref="B30">_xlfn.LET(
  _xlpm.ids, VALUE(_xlfn.TEXTSPLIT(SUBSTITUTE(A30,",",";"),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0" s="45" t="s">
        <v>98</v>
      </c>
      <c r="D30" s="8" t="s">
        <v>98</v>
      </c>
      <c r="E30" s="8"/>
      <c r="F30" s="8"/>
      <c r="G30" s="8" t="s">
        <v>1261</v>
      </c>
      <c r="H30" s="8"/>
      <c r="I30" s="8"/>
      <c r="J30" s="8" t="s">
        <v>154</v>
      </c>
      <c r="K30" s="8" t="s">
        <v>134</v>
      </c>
      <c r="L30" s="8" t="s">
        <v>115</v>
      </c>
      <c r="M30" s="8"/>
      <c r="N30" s="8"/>
    </row>
    <row r="31" spans="1:14" ht="15" customHeight="1" x14ac:dyDescent="0.25">
      <c r="A31" s="44">
        <v>13</v>
      </c>
      <c r="B31" s="44" t="b" cm="1">
        <f t="array" ref="B31">_xlfn.LET(
  _xlpm.ids, VALUE(_xlfn.TEXTSPLIT(SUBSTITUTE(A31,",",";"),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1" s="44" t="s">
        <v>98</v>
      </c>
      <c r="D31" s="10" t="s">
        <v>98</v>
      </c>
      <c r="E31" s="10"/>
      <c r="F31" s="10"/>
      <c r="G31" s="8" t="s">
        <v>1256</v>
      </c>
      <c r="H31" s="8"/>
      <c r="I31" s="8"/>
      <c r="J31" s="4" t="s">
        <v>538</v>
      </c>
      <c r="K31" s="4" t="s">
        <v>151</v>
      </c>
      <c r="L31" s="10" t="s">
        <v>115</v>
      </c>
      <c r="M31" s="10"/>
      <c r="N31" s="10"/>
    </row>
    <row r="32" spans="1:14" ht="15" customHeight="1" x14ac:dyDescent="0.25">
      <c r="A32" s="44" t="s">
        <v>1267</v>
      </c>
      <c r="B32" s="44" t="b" cm="1">
        <f t="array" ref="B32">_xlfn.LET(
  _xlpm.ids, VALUE(_xlfn.TEXTSPLIT(SUBSTITUTE(A32,",",";"),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2" s="44" t="s">
        <v>98</v>
      </c>
      <c r="D32" s="10" t="s">
        <v>98</v>
      </c>
      <c r="E32" s="10"/>
      <c r="F32" s="10"/>
      <c r="G32" s="10" t="s">
        <v>1256</v>
      </c>
      <c r="H32" s="10"/>
      <c r="I32" s="10"/>
      <c r="J32" s="4" t="s">
        <v>149</v>
      </c>
      <c r="K32" s="4" t="s">
        <v>1268</v>
      </c>
      <c r="L32" s="10" t="s">
        <v>115</v>
      </c>
      <c r="M32" s="10"/>
      <c r="N32" s="10"/>
    </row>
    <row r="33" spans="1:14" ht="15" customHeight="1" x14ac:dyDescent="0.25">
      <c r="A33" s="45">
        <v>29</v>
      </c>
      <c r="B33" s="45" t="b" cm="1">
        <f t="array" ref="B33">_xlfn.LET(
  _xlpm.ids, VALUE(_xlfn.TEXTSPLIT(SUBSTITUTE(A33,",",";"),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33" s="45" t="s">
        <v>98</v>
      </c>
      <c r="D33" s="8" t="s">
        <v>98</v>
      </c>
      <c r="E33" s="8"/>
      <c r="F33" s="8"/>
      <c r="G33" s="8" t="s">
        <v>1257</v>
      </c>
      <c r="H33" s="8"/>
      <c r="I33" s="8"/>
      <c r="J33" s="8" t="s">
        <v>176</v>
      </c>
      <c r="K33" s="8" t="s">
        <v>177</v>
      </c>
      <c r="L33" s="8" t="s">
        <v>175</v>
      </c>
      <c r="M33" s="8"/>
      <c r="N33" s="8"/>
    </row>
    <row r="34" spans="1:14" ht="15" customHeight="1" x14ac:dyDescent="0.25">
      <c r="A34" s="44">
        <v>19</v>
      </c>
      <c r="B34" s="44" t="b" cm="1">
        <f t="array" ref="B34">_xlfn.LET(
  _xlpm.ids, VALUE(_xlfn.TEXTSPLIT(SUBSTITUTE(A34,",",";"),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4" s="44" t="s">
        <v>98</v>
      </c>
      <c r="D34" s="10" t="s">
        <v>98</v>
      </c>
      <c r="E34" s="10"/>
      <c r="F34" s="10"/>
      <c r="G34" s="10" t="s">
        <v>1256</v>
      </c>
      <c r="H34" s="10"/>
      <c r="I34" s="10"/>
      <c r="J34" s="4" t="s">
        <v>1269</v>
      </c>
      <c r="K34" s="4" t="s">
        <v>309</v>
      </c>
      <c r="L34" s="10" t="s">
        <v>115</v>
      </c>
      <c r="M34" s="10"/>
      <c r="N34" s="10"/>
    </row>
    <row r="35" spans="1:14" ht="15" customHeight="1" x14ac:dyDescent="0.25">
      <c r="A35" s="44">
        <v>19</v>
      </c>
      <c r="B35" s="44" t="b" cm="1">
        <f t="array" ref="B35">_xlfn.LET(
  _xlpm.ids, VALUE(_xlfn.TEXTSPLIT(SUBSTITUTE(A35,",",";"),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5" s="44" t="s">
        <v>98</v>
      </c>
      <c r="D35" s="10" t="s">
        <v>98</v>
      </c>
      <c r="E35" s="10"/>
      <c r="F35" s="10"/>
      <c r="G35" s="10" t="s">
        <v>1256</v>
      </c>
      <c r="H35" s="10"/>
      <c r="I35" s="10"/>
      <c r="J35" s="4" t="s">
        <v>1270</v>
      </c>
      <c r="K35" s="4" t="s">
        <v>309</v>
      </c>
      <c r="L35" s="10" t="s">
        <v>115</v>
      </c>
      <c r="M35" s="10"/>
      <c r="N35" s="10"/>
    </row>
    <row r="36" spans="1:14" ht="15" customHeight="1" x14ac:dyDescent="0.25">
      <c r="A36" s="44">
        <v>19</v>
      </c>
      <c r="B36" s="44" t="b" cm="1">
        <f t="array" ref="B36">_xlfn.LET(
  _xlpm.ids, VALUE(_xlfn.TEXTSPLIT(SUBSTITUTE(A36,",",";"),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6" s="44" t="s">
        <v>98</v>
      </c>
      <c r="D36" s="10" t="s">
        <v>98</v>
      </c>
      <c r="E36" s="10"/>
      <c r="F36" s="10"/>
      <c r="G36" s="10" t="s">
        <v>1256</v>
      </c>
      <c r="H36" s="10"/>
      <c r="I36" s="10"/>
      <c r="J36" s="4" t="s">
        <v>1271</v>
      </c>
      <c r="K36" s="4" t="s">
        <v>309</v>
      </c>
      <c r="L36" s="10" t="s">
        <v>115</v>
      </c>
      <c r="M36" s="10"/>
      <c r="N36" s="10"/>
    </row>
    <row r="37" spans="1:14" ht="15" customHeight="1" x14ac:dyDescent="0.25">
      <c r="A37" s="46">
        <v>22</v>
      </c>
      <c r="B37" s="46" t="b" cm="1">
        <f t="array" ref="B37">_xlfn.LET(
  _xlpm.ids, VALUE(_xlfn.TEXTSPLIT(SUBSTITUTE(A37,",",";"),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7" s="46" t="s">
        <v>98</v>
      </c>
      <c r="D37" s="13" t="s">
        <v>98</v>
      </c>
      <c r="E37" s="13"/>
      <c r="F37" s="13"/>
      <c r="G37" s="13" t="s">
        <v>1263</v>
      </c>
      <c r="H37" s="13"/>
      <c r="I37" s="13"/>
      <c r="J37" s="7" t="s">
        <v>142</v>
      </c>
      <c r="K37" s="7" t="s">
        <v>112</v>
      </c>
      <c r="L37" s="13"/>
      <c r="M37" s="13"/>
      <c r="N37" s="13" t="s">
        <v>143</v>
      </c>
    </row>
    <row r="38" spans="1:14" ht="15" customHeight="1" x14ac:dyDescent="0.25">
      <c r="A38" s="44">
        <v>15</v>
      </c>
      <c r="B38" s="44" t="b" cm="1">
        <f t="array" ref="B38">_xlfn.LET(
  _xlpm.ids, VALUE(_xlfn.TEXTSPLIT(SUBSTITUTE(A38,",",";"),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8" s="44" t="s">
        <v>98</v>
      </c>
      <c r="D38" s="10" t="s">
        <v>98</v>
      </c>
      <c r="E38" s="10"/>
      <c r="F38" s="10"/>
      <c r="G38" s="10" t="s">
        <v>1256</v>
      </c>
      <c r="H38" s="10"/>
      <c r="I38" s="10"/>
      <c r="J38" s="4" t="s">
        <v>184</v>
      </c>
      <c r="K38" s="4" t="s">
        <v>153</v>
      </c>
      <c r="L38" s="10" t="s">
        <v>175</v>
      </c>
      <c r="M38" s="10"/>
      <c r="N38" s="10"/>
    </row>
    <row r="39" spans="1:14" ht="15" customHeight="1" x14ac:dyDescent="0.25">
      <c r="A39" s="44">
        <v>13</v>
      </c>
      <c r="B39" s="44" t="b" cm="1">
        <f t="array" ref="B39">_xlfn.LET(
  _xlpm.ids, VALUE(_xlfn.TEXTSPLIT(SUBSTITUTE(A39,",",";"),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39" s="44" t="s">
        <v>98</v>
      </c>
      <c r="D39" s="10" t="s">
        <v>98</v>
      </c>
      <c r="E39" s="10"/>
      <c r="F39" s="10"/>
      <c r="G39" s="8" t="s">
        <v>1256</v>
      </c>
      <c r="H39" s="8"/>
      <c r="I39" s="8"/>
      <c r="J39" s="4" t="s">
        <v>185</v>
      </c>
      <c r="K39" s="4" t="s">
        <v>151</v>
      </c>
      <c r="L39" s="10" t="s">
        <v>115</v>
      </c>
      <c r="M39" s="10"/>
      <c r="N39" s="10"/>
    </row>
    <row r="40" spans="1:14" ht="15" customHeight="1" x14ac:dyDescent="0.25">
      <c r="A40" s="44">
        <v>7</v>
      </c>
      <c r="B40" s="44" t="b" cm="1">
        <f t="array" ref="B40">_xlfn.LET(
  _xlpm.ids, VALUE(_xlfn.TEXTSPLIT(SUBSTITUTE(A40,",",";"),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0" s="44" t="s">
        <v>98</v>
      </c>
      <c r="D40" s="10" t="s">
        <v>98</v>
      </c>
      <c r="E40" s="10"/>
      <c r="F40" s="10"/>
      <c r="G40" s="10" t="s">
        <v>1261</v>
      </c>
      <c r="H40" s="10"/>
      <c r="I40" s="10"/>
      <c r="J40" s="4" t="s">
        <v>152</v>
      </c>
      <c r="K40" s="4" t="s">
        <v>153</v>
      </c>
      <c r="L40" s="10" t="s">
        <v>115</v>
      </c>
      <c r="M40" s="10"/>
      <c r="N40" s="10"/>
    </row>
    <row r="41" spans="1:14" ht="15" customHeight="1" x14ac:dyDescent="0.25">
      <c r="A41" s="45">
        <v>31</v>
      </c>
      <c r="B41" s="45" t="b" cm="1">
        <f t="array" ref="B41">_xlfn.LET(
  _xlpm.ids, VALUE(_xlfn.TEXTSPLIT(SUBSTITUTE(A41,",",";"),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1" s="45" t="s">
        <v>98</v>
      </c>
      <c r="D41" s="35" t="s">
        <v>98</v>
      </c>
      <c r="E41" s="8"/>
      <c r="F41" s="8"/>
      <c r="G41" s="16" t="s">
        <v>1272</v>
      </c>
      <c r="H41" s="16"/>
      <c r="I41" s="16"/>
      <c r="J41" s="8" t="s">
        <v>417</v>
      </c>
      <c r="K41" s="8" t="s">
        <v>129</v>
      </c>
      <c r="L41" s="16" t="s">
        <v>115</v>
      </c>
      <c r="M41" s="19"/>
      <c r="N41" s="8"/>
    </row>
    <row r="42" spans="1:14" ht="15" customHeight="1" x14ac:dyDescent="0.25">
      <c r="A42" s="47">
        <v>17</v>
      </c>
      <c r="B42" s="47" t="b" cm="1">
        <f t="array" ref="B42">_xlfn.LET(
  _xlpm.ids, VALUE(_xlfn.TEXTSPLIT(SUBSTITUTE(A42,",",";"),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2" s="47" t="s">
        <v>98</v>
      </c>
      <c r="D42" s="21" t="s">
        <v>1273</v>
      </c>
      <c r="E42" s="21"/>
      <c r="F42" s="21"/>
      <c r="G42" s="21" t="s">
        <v>1257</v>
      </c>
      <c r="H42" s="21"/>
      <c r="I42" s="21"/>
      <c r="J42" s="7" t="s">
        <v>186</v>
      </c>
      <c r="K42" s="7" t="s">
        <v>188</v>
      </c>
      <c r="L42" s="21" t="s">
        <v>124</v>
      </c>
      <c r="M42" s="8"/>
      <c r="N42" s="8" t="s">
        <v>187</v>
      </c>
    </row>
    <row r="43" spans="1:14" ht="15" customHeight="1" x14ac:dyDescent="0.25">
      <c r="A43" s="45">
        <v>17</v>
      </c>
      <c r="B43" s="45" t="b" cm="1">
        <f t="array" ref="B43">_xlfn.LET(
  _xlpm.ids, VALUE(_xlfn.TEXTSPLIT(SUBSTITUTE(A43,",",";"),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3" s="45" t="s">
        <v>98</v>
      </c>
      <c r="D43" s="8" t="s">
        <v>1273</v>
      </c>
      <c r="E43" s="8"/>
      <c r="F43" s="8"/>
      <c r="G43" s="8" t="s">
        <v>1257</v>
      </c>
      <c r="H43" s="8"/>
      <c r="I43" s="8"/>
      <c r="J43" s="4" t="s">
        <v>418</v>
      </c>
      <c r="K43" s="4" t="s">
        <v>188</v>
      </c>
      <c r="L43" s="8" t="s">
        <v>115</v>
      </c>
      <c r="M43" s="8"/>
      <c r="N43" s="8"/>
    </row>
    <row r="44" spans="1:14" ht="15" customHeight="1" x14ac:dyDescent="0.25">
      <c r="A44" s="45">
        <v>17</v>
      </c>
      <c r="B44" s="45" t="b" cm="1">
        <f t="array" ref="B44">_xlfn.LET(
  _xlpm.ids, VALUE(_xlfn.TEXTSPLIT(SUBSTITUTE(A44,",",";"),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4" s="45" t="s">
        <v>98</v>
      </c>
      <c r="D44" s="8" t="s">
        <v>1273</v>
      </c>
      <c r="E44" s="8"/>
      <c r="F44" s="8"/>
      <c r="G44" s="8" t="s">
        <v>1257</v>
      </c>
      <c r="H44" s="8"/>
      <c r="I44" s="8"/>
      <c r="J44" s="4" t="s">
        <v>404</v>
      </c>
      <c r="K44" s="4" t="s">
        <v>188</v>
      </c>
      <c r="L44" s="8" t="s">
        <v>115</v>
      </c>
      <c r="M44" s="8"/>
      <c r="N44" s="8"/>
    </row>
    <row r="45" spans="1:14" ht="15" customHeight="1" x14ac:dyDescent="0.25">
      <c r="A45" s="45">
        <v>17</v>
      </c>
      <c r="B45" s="45" t="b" cm="1">
        <f t="array" ref="B45">_xlfn.LET(
  _xlpm.ids, VALUE(_xlfn.TEXTSPLIT(SUBSTITUTE(A45,",",";"),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5" s="45" t="s">
        <v>98</v>
      </c>
      <c r="D45" s="8" t="s">
        <v>1273</v>
      </c>
      <c r="E45" s="8"/>
      <c r="F45" s="8"/>
      <c r="G45" s="8" t="s">
        <v>1257</v>
      </c>
      <c r="H45" s="8"/>
      <c r="I45" s="8"/>
      <c r="J45" s="4" t="s">
        <v>427</v>
      </c>
      <c r="K45" s="4" t="s">
        <v>188</v>
      </c>
      <c r="L45" s="8" t="s">
        <v>115</v>
      </c>
      <c r="M45" s="8"/>
      <c r="N45" s="8"/>
    </row>
    <row r="46" spans="1:14" ht="15" customHeight="1" x14ac:dyDescent="0.25">
      <c r="A46" s="44" t="s">
        <v>406</v>
      </c>
      <c r="B46" s="44" t="b" cm="1">
        <f t="array" ref="B46">_xlfn.LET(
  _xlpm.ids, VALUE(_xlfn.TEXTSPLIT(SUBSTITUTE(A46,",",";"),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6" s="44" t="s">
        <v>98</v>
      </c>
      <c r="D46" s="10" t="s">
        <v>98</v>
      </c>
      <c r="E46" s="10"/>
      <c r="F46" s="10"/>
      <c r="G46" s="10" t="s">
        <v>1256</v>
      </c>
      <c r="H46" s="10"/>
      <c r="I46" s="10"/>
      <c r="J46" s="4" t="s">
        <v>405</v>
      </c>
      <c r="K46" s="4" t="s">
        <v>407</v>
      </c>
      <c r="L46" s="10" t="s">
        <v>175</v>
      </c>
      <c r="M46" s="10"/>
      <c r="N46" s="10"/>
    </row>
    <row r="47" spans="1:14" ht="15" customHeight="1" x14ac:dyDescent="0.25">
      <c r="A47" s="45" t="s">
        <v>126</v>
      </c>
      <c r="B47" s="45" t="b" cm="1">
        <f t="array" ref="B47">_xlfn.LET(
  _xlpm.ids, VALUE(_xlfn.TEXTSPLIT(SUBSTITUTE(A47,",",";"),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47" s="45" t="s">
        <v>98</v>
      </c>
      <c r="D47" s="8" t="s">
        <v>98</v>
      </c>
      <c r="E47" s="8"/>
      <c r="F47" s="8"/>
      <c r="G47" s="8" t="s">
        <v>1256</v>
      </c>
      <c r="H47" s="8"/>
      <c r="I47" s="8"/>
      <c r="J47" s="4" t="s">
        <v>178</v>
      </c>
      <c r="K47" s="4" t="s">
        <v>127</v>
      </c>
      <c r="L47" s="8" t="s">
        <v>115</v>
      </c>
      <c r="M47" s="8"/>
      <c r="N47" s="8"/>
    </row>
    <row r="48" spans="1:14" ht="15" customHeight="1" x14ac:dyDescent="0.25">
      <c r="A48" s="45">
        <v>3</v>
      </c>
      <c r="B48" s="45" t="b" cm="1">
        <f t="array" ref="B48">_xlfn.LET(
  _xlpm.ids, VALUE(_xlfn.TEXTSPLIT(SUBSTITUTE(A48,",",";"),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8" s="45" t="s">
        <v>98</v>
      </c>
      <c r="D48" s="8" t="s">
        <v>98</v>
      </c>
      <c r="E48" s="8"/>
      <c r="F48" s="8"/>
      <c r="G48" s="8" t="s">
        <v>1274</v>
      </c>
      <c r="H48" s="8"/>
      <c r="I48" s="8"/>
      <c r="J48" s="4" t="s">
        <v>756</v>
      </c>
      <c r="K48" s="4" t="s">
        <v>122</v>
      </c>
      <c r="L48" s="8" t="s">
        <v>115</v>
      </c>
      <c r="M48" s="8"/>
      <c r="N48" s="8"/>
    </row>
    <row r="49" spans="1:14" ht="15" customHeight="1" x14ac:dyDescent="0.25">
      <c r="A49" s="45">
        <v>5</v>
      </c>
      <c r="B49" s="45" t="b" cm="1">
        <f t="array" ref="B49">_xlfn.LET(
  _xlpm.ids, VALUE(_xlfn.TEXTSPLIT(SUBSTITUTE(A49,",",";"),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49" s="45" t="s">
        <v>98</v>
      </c>
      <c r="D49" s="8" t="s">
        <v>98</v>
      </c>
      <c r="E49" s="8"/>
      <c r="F49" s="8"/>
      <c r="G49" s="8" t="s">
        <v>1261</v>
      </c>
      <c r="H49" s="8"/>
      <c r="I49" s="8"/>
      <c r="J49" s="4" t="s">
        <v>156</v>
      </c>
      <c r="K49" s="4" t="s">
        <v>157</v>
      </c>
      <c r="L49" s="8" t="s">
        <v>115</v>
      </c>
      <c r="M49" s="8"/>
      <c r="N49" s="8"/>
    </row>
    <row r="50" spans="1:14" ht="15" customHeight="1" x14ac:dyDescent="0.25">
      <c r="A50" s="45">
        <v>5</v>
      </c>
      <c r="B50" s="45" t="b" cm="1">
        <f t="array" ref="B50">_xlfn.LET(
  _xlpm.ids, VALUE(_xlfn.TEXTSPLIT(SUBSTITUTE(A50,",",";"),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0" s="45" t="s">
        <v>98</v>
      </c>
      <c r="D50" s="8" t="s">
        <v>98</v>
      </c>
      <c r="E50" s="8"/>
      <c r="F50" s="8"/>
      <c r="G50" s="8" t="s">
        <v>1261</v>
      </c>
      <c r="H50" s="8"/>
      <c r="I50" s="8"/>
      <c r="J50" s="4" t="s">
        <v>158</v>
      </c>
      <c r="K50" s="4" t="s">
        <v>157</v>
      </c>
      <c r="L50" s="8" t="s">
        <v>115</v>
      </c>
      <c r="M50" s="8"/>
      <c r="N50" s="8"/>
    </row>
    <row r="51" spans="1:14" ht="15" customHeight="1" x14ac:dyDescent="0.25">
      <c r="A51" s="45">
        <v>5</v>
      </c>
      <c r="B51" s="45" t="b" cm="1">
        <f t="array" ref="B51">_xlfn.LET(
  _xlpm.ids, VALUE(_xlfn.TEXTSPLIT(SUBSTITUTE(A51,",",";"),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1" s="45" t="s">
        <v>98</v>
      </c>
      <c r="D51" s="8" t="s">
        <v>98</v>
      </c>
      <c r="E51" s="8"/>
      <c r="F51" s="8"/>
      <c r="G51" s="8" t="s">
        <v>1261</v>
      </c>
      <c r="H51" s="8"/>
      <c r="I51" s="8"/>
      <c r="J51" s="4" t="s">
        <v>159</v>
      </c>
      <c r="K51" s="4" t="s">
        <v>157</v>
      </c>
      <c r="L51" s="8" t="s">
        <v>115</v>
      </c>
      <c r="M51" s="8"/>
      <c r="N51" s="8"/>
    </row>
    <row r="52" spans="1:14" ht="15" customHeight="1" x14ac:dyDescent="0.25">
      <c r="A52" s="45">
        <v>5</v>
      </c>
      <c r="B52" s="45" t="b" cm="1">
        <f t="array" ref="B52">_xlfn.LET(
  _xlpm.ids, VALUE(_xlfn.TEXTSPLIT(SUBSTITUTE(A52,",",";"),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2" s="45" t="s">
        <v>98</v>
      </c>
      <c r="D52" s="8" t="s">
        <v>98</v>
      </c>
      <c r="E52" s="8"/>
      <c r="F52" s="8"/>
      <c r="G52" s="8" t="s">
        <v>1261</v>
      </c>
      <c r="H52" s="8"/>
      <c r="I52" s="8"/>
      <c r="J52" s="4" t="s">
        <v>160</v>
      </c>
      <c r="K52" s="4" t="s">
        <v>157</v>
      </c>
      <c r="L52" s="8" t="s">
        <v>115</v>
      </c>
      <c r="M52" s="8"/>
      <c r="N52" s="8"/>
    </row>
    <row r="53" spans="1:14" ht="15" customHeight="1" x14ac:dyDescent="0.25">
      <c r="A53" s="45">
        <v>5</v>
      </c>
      <c r="B53" s="45" t="b" cm="1">
        <f t="array" ref="B53">_xlfn.LET(
  _xlpm.ids, VALUE(_xlfn.TEXTSPLIT(SUBSTITUTE(A53,",",";"),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3" s="45" t="s">
        <v>98</v>
      </c>
      <c r="D53" s="8" t="s">
        <v>98</v>
      </c>
      <c r="E53" s="8"/>
      <c r="F53" s="8"/>
      <c r="G53" s="8" t="s">
        <v>1261</v>
      </c>
      <c r="H53" s="8"/>
      <c r="I53" s="8"/>
      <c r="J53" s="4" t="s">
        <v>161</v>
      </c>
      <c r="K53" s="4" t="s">
        <v>157</v>
      </c>
      <c r="L53" s="8" t="s">
        <v>115</v>
      </c>
      <c r="M53" s="8"/>
      <c r="N53" s="8" t="s">
        <v>162</v>
      </c>
    </row>
    <row r="54" spans="1:14" ht="15" customHeight="1" x14ac:dyDescent="0.25">
      <c r="A54" s="45">
        <v>5</v>
      </c>
      <c r="B54" s="45" t="b" cm="1">
        <f t="array" ref="B54">_xlfn.LET(
  _xlpm.ids, VALUE(_xlfn.TEXTSPLIT(SUBSTITUTE(A54,",",";"),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4" s="45" t="s">
        <v>98</v>
      </c>
      <c r="D54" s="8" t="s">
        <v>98</v>
      </c>
      <c r="E54" s="8"/>
      <c r="F54" s="8"/>
      <c r="G54" s="8" t="s">
        <v>1261</v>
      </c>
      <c r="H54" s="8"/>
      <c r="I54" s="8"/>
      <c r="J54" s="4" t="s">
        <v>163</v>
      </c>
      <c r="K54" s="4" t="s">
        <v>157</v>
      </c>
      <c r="L54" s="8" t="s">
        <v>115</v>
      </c>
      <c r="M54" s="8"/>
      <c r="N54" s="8" t="s">
        <v>162</v>
      </c>
    </row>
    <row r="55" spans="1:14" ht="15" customHeight="1" x14ac:dyDescent="0.25">
      <c r="A55" s="45">
        <v>5</v>
      </c>
      <c r="B55" s="45" t="b" cm="1">
        <f t="array" ref="B55">_xlfn.LET(
  _xlpm.ids, VALUE(_xlfn.TEXTSPLIT(SUBSTITUTE(A55,",",";"),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5" s="45" t="s">
        <v>98</v>
      </c>
      <c r="D55" s="8" t="s">
        <v>98</v>
      </c>
      <c r="E55" s="8"/>
      <c r="F55" s="8"/>
      <c r="G55" s="8" t="s">
        <v>1261</v>
      </c>
      <c r="H55" s="8"/>
      <c r="I55" s="8"/>
      <c r="J55" s="4" t="s">
        <v>164</v>
      </c>
      <c r="K55" s="4" t="s">
        <v>157</v>
      </c>
      <c r="L55" s="8" t="s">
        <v>115</v>
      </c>
      <c r="M55" s="8"/>
      <c r="N55" s="8"/>
    </row>
    <row r="56" spans="1:14" ht="15" customHeight="1" x14ac:dyDescent="0.25">
      <c r="A56" s="45">
        <v>17</v>
      </c>
      <c r="B56" s="45" t="b" cm="1">
        <f t="array" ref="B56">_xlfn.LET(
  _xlpm.ids, VALUE(_xlfn.TEXTSPLIT(SUBSTITUTE(A56,",",";"),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6" s="45" t="s">
        <v>98</v>
      </c>
      <c r="D56" s="8" t="s">
        <v>1273</v>
      </c>
      <c r="E56" s="8"/>
      <c r="F56" s="8"/>
      <c r="G56" s="8" t="s">
        <v>1257</v>
      </c>
      <c r="H56" s="8"/>
      <c r="I56" s="8"/>
      <c r="J56" s="4" t="s">
        <v>419</v>
      </c>
      <c r="K56" s="4" t="s">
        <v>188</v>
      </c>
      <c r="L56" s="8" t="s">
        <v>115</v>
      </c>
      <c r="M56" s="8"/>
      <c r="N56" s="8"/>
    </row>
    <row r="57" spans="1:14" ht="15" customHeight="1" x14ac:dyDescent="0.25">
      <c r="A57" s="55">
        <v>16</v>
      </c>
      <c r="B57" s="55" t="b" cm="1">
        <f t="array" ref="B57">_xlfn.LET(
  _xlpm.ids, VALUE(_xlfn.TEXTSPLIT(SUBSTITUTE(A57,",",";"),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57" s="55" t="s">
        <v>98</v>
      </c>
      <c r="D57" s="15" t="s">
        <v>98</v>
      </c>
      <c r="E57" s="15" t="s">
        <v>98</v>
      </c>
      <c r="F57" s="15"/>
      <c r="G57" s="15" t="s">
        <v>1261</v>
      </c>
      <c r="H57" s="15"/>
      <c r="I57" s="15"/>
      <c r="J57" s="15" t="s">
        <v>388</v>
      </c>
      <c r="K57" s="15" t="s">
        <v>244</v>
      </c>
      <c r="L57" s="15" t="s">
        <v>124</v>
      </c>
      <c r="M57" s="15"/>
      <c r="N57" s="15"/>
    </row>
    <row r="58" spans="1:14" ht="15" customHeight="1" x14ac:dyDescent="0.25">
      <c r="A58" s="45" t="s">
        <v>1275</v>
      </c>
      <c r="B58" s="45" t="str" cm="1">
        <f t="array" ref="B58">_xlfn.LET(
  _xlpm.ids, VALUE(_xlfn.TEXTSPLIT(SUBSTITUTE(A58,",",";"),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partial</v>
      </c>
      <c r="C58" s="45" t="s">
        <v>98</v>
      </c>
      <c r="D58" s="8" t="s">
        <v>98</v>
      </c>
      <c r="E58" s="8"/>
      <c r="F58" s="8"/>
      <c r="G58" s="8" t="s">
        <v>1256</v>
      </c>
      <c r="H58" s="8"/>
      <c r="I58" s="8"/>
      <c r="J58" s="4" t="s">
        <v>857</v>
      </c>
      <c r="K58" s="4" t="s">
        <v>1276</v>
      </c>
      <c r="L58" s="8" t="s">
        <v>124</v>
      </c>
      <c r="M58" s="8"/>
      <c r="N58" s="8"/>
    </row>
    <row r="59" spans="1:14" ht="15" customHeight="1" x14ac:dyDescent="0.25">
      <c r="A59" s="44">
        <v>14</v>
      </c>
      <c r="B59" s="44" t="b" cm="1">
        <f t="array" ref="B59">_xlfn.LET(
  _xlpm.ids, VALUE(_xlfn.TEXTSPLIT(SUBSTITUTE(A59,",",";"),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59" s="44" t="s">
        <v>98</v>
      </c>
      <c r="D59" s="10" t="s">
        <v>98</v>
      </c>
      <c r="E59" s="10"/>
      <c r="F59" s="10"/>
      <c r="G59" s="10" t="s">
        <v>1263</v>
      </c>
      <c r="H59" s="10"/>
      <c r="I59" s="10"/>
      <c r="J59" s="4" t="s">
        <v>139</v>
      </c>
      <c r="K59" s="4" t="s">
        <v>140</v>
      </c>
      <c r="L59" s="10" t="s">
        <v>115</v>
      </c>
      <c r="M59" s="10"/>
      <c r="N59" s="10"/>
    </row>
    <row r="60" spans="1:14" ht="15" customHeight="1" x14ac:dyDescent="0.25">
      <c r="A60" s="45">
        <v>32</v>
      </c>
      <c r="B60" s="45" t="b" cm="1">
        <f t="array" ref="B60">_xlfn.LET(
  _xlpm.ids, VALUE(_xlfn.TEXTSPLIT(SUBSTITUTE(A60,",",";"),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0" s="45" t="s">
        <v>98</v>
      </c>
      <c r="D60" s="8" t="s">
        <v>98</v>
      </c>
      <c r="E60" s="8"/>
      <c r="F60" s="8"/>
      <c r="G60" s="8" t="s">
        <v>1257</v>
      </c>
      <c r="H60" s="8"/>
      <c r="I60" s="8"/>
      <c r="J60" s="8" t="s">
        <v>402</v>
      </c>
      <c r="K60" s="8" t="s">
        <v>177</v>
      </c>
      <c r="L60" s="8" t="s">
        <v>115</v>
      </c>
      <c r="M60" s="8"/>
      <c r="N60" s="8"/>
    </row>
    <row r="61" spans="1:14" ht="15" customHeight="1" x14ac:dyDescent="0.25">
      <c r="A61" s="44">
        <v>9</v>
      </c>
      <c r="B61" s="44" t="b" cm="1">
        <f t="array" ref="B61">_xlfn.LET(
  _xlpm.ids, VALUE(_xlfn.TEXTSPLIT(SUBSTITUTE(A61,",",";"),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1" s="44" t="s">
        <v>98</v>
      </c>
      <c r="D61" s="10" t="s">
        <v>98</v>
      </c>
      <c r="E61" s="10"/>
      <c r="F61" s="10"/>
      <c r="G61" s="10" t="s">
        <v>1261</v>
      </c>
      <c r="H61" s="10"/>
      <c r="I61" s="10"/>
      <c r="J61" s="4" t="s">
        <v>155</v>
      </c>
      <c r="K61" s="4" t="s">
        <v>112</v>
      </c>
      <c r="L61" s="10" t="s">
        <v>115</v>
      </c>
      <c r="M61" s="10"/>
      <c r="N61" s="10"/>
    </row>
    <row r="62" spans="1:14" ht="15" customHeight="1" x14ac:dyDescent="0.25">
      <c r="A62" s="45">
        <v>31</v>
      </c>
      <c r="B62" s="45" t="b" cm="1">
        <f t="array" ref="B62">_xlfn.LET(
  _xlpm.ids, VALUE(_xlfn.TEXTSPLIT(SUBSTITUTE(A62,",",";"),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2" s="45" t="s">
        <v>98</v>
      </c>
      <c r="D62" s="35" t="s">
        <v>98</v>
      </c>
      <c r="E62" s="16"/>
      <c r="F62" s="16"/>
      <c r="G62" s="16" t="s">
        <v>1272</v>
      </c>
      <c r="H62" s="16"/>
      <c r="I62" s="16"/>
      <c r="J62" s="8" t="s">
        <v>403</v>
      </c>
      <c r="K62" s="8" t="s">
        <v>129</v>
      </c>
      <c r="L62" s="16" t="s">
        <v>115</v>
      </c>
      <c r="M62" s="19"/>
      <c r="N62" s="8"/>
    </row>
    <row r="63" spans="1:14" ht="15" customHeight="1" x14ac:dyDescent="0.25">
      <c r="A63" s="45">
        <v>26</v>
      </c>
      <c r="B63" s="45" t="b" cm="1">
        <f t="array" ref="B63">_xlfn.LET(
  _xlpm.ids, VALUE(_xlfn.TEXTSPLIT(SUBSTITUTE(A63,",",";"),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3" s="45" t="s">
        <v>98</v>
      </c>
      <c r="D63" s="8" t="s">
        <v>98</v>
      </c>
      <c r="E63" s="8"/>
      <c r="F63" s="8"/>
      <c r="G63" s="8" t="s">
        <v>1256</v>
      </c>
      <c r="H63" s="8"/>
      <c r="I63" s="8"/>
      <c r="J63" s="8" t="s">
        <v>421</v>
      </c>
      <c r="K63" s="8" t="s">
        <v>134</v>
      </c>
      <c r="L63" s="8" t="s">
        <v>420</v>
      </c>
      <c r="M63" s="8"/>
      <c r="N63" s="8"/>
    </row>
    <row r="64" spans="1:14" ht="15" customHeight="1" x14ac:dyDescent="0.25">
      <c r="A64" s="45">
        <v>31</v>
      </c>
      <c r="B64" s="45" t="b" cm="1">
        <f t="array" ref="B64">_xlfn.LET(
  _xlpm.ids, VALUE(_xlfn.TEXTSPLIT(SUBSTITUTE(A64,",",";"),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4" s="45" t="s">
        <v>98</v>
      </c>
      <c r="D64" s="35" t="s">
        <v>98</v>
      </c>
      <c r="E64" s="16"/>
      <c r="F64" s="16"/>
      <c r="G64" s="8" t="s">
        <v>1263</v>
      </c>
      <c r="H64" s="8"/>
      <c r="I64" s="8"/>
      <c r="J64" s="8" t="s">
        <v>433</v>
      </c>
      <c r="K64" s="8" t="s">
        <v>129</v>
      </c>
      <c r="L64" s="16" t="s">
        <v>115</v>
      </c>
      <c r="M64" s="19"/>
      <c r="N64" s="8"/>
    </row>
    <row r="65" spans="1:14" ht="15" customHeight="1" x14ac:dyDescent="0.25">
      <c r="A65" s="45">
        <v>26</v>
      </c>
      <c r="B65" s="45" t="b" cm="1">
        <f t="array" ref="B65">_xlfn.LET(
  _xlpm.ids, VALUE(_xlfn.TEXTSPLIT(SUBSTITUTE(A65,",",";"),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5" s="45" t="s">
        <v>98</v>
      </c>
      <c r="D65" s="8" t="s">
        <v>98</v>
      </c>
      <c r="E65" s="8"/>
      <c r="F65" s="8"/>
      <c r="G65" s="8" t="s">
        <v>1263</v>
      </c>
      <c r="H65" s="8"/>
      <c r="I65" s="8"/>
      <c r="J65" s="8" t="s">
        <v>434</v>
      </c>
      <c r="K65" s="8" t="s">
        <v>134</v>
      </c>
      <c r="L65" s="8" t="s">
        <v>115</v>
      </c>
      <c r="M65" s="8"/>
      <c r="N65" s="8"/>
    </row>
    <row r="66" spans="1:14" ht="15" customHeight="1" x14ac:dyDescent="0.25">
      <c r="A66" s="45">
        <v>28</v>
      </c>
      <c r="B66" s="45" t="b" cm="1">
        <f t="array" ref="B66">_xlfn.LET(
  _xlpm.ids, VALUE(_xlfn.TEXTSPLIT(SUBSTITUTE(A66,",",";"),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6" s="45" t="s">
        <v>98</v>
      </c>
      <c r="D66" s="8" t="s">
        <v>98</v>
      </c>
      <c r="E66" s="8"/>
      <c r="F66" s="8"/>
      <c r="G66" s="8" t="s">
        <v>1257</v>
      </c>
      <c r="H66" s="8"/>
      <c r="I66" s="8"/>
      <c r="J66" s="8" t="s">
        <v>422</v>
      </c>
      <c r="K66" s="8" t="s">
        <v>423</v>
      </c>
      <c r="L66" s="8" t="s">
        <v>115</v>
      </c>
      <c r="M66" s="8"/>
      <c r="N66" s="8"/>
    </row>
    <row r="67" spans="1:14" ht="15" customHeight="1" x14ac:dyDescent="0.25">
      <c r="A67" s="55" t="s">
        <v>436</v>
      </c>
      <c r="B67" s="55" t="b" cm="1">
        <f t="array" ref="B67">_xlfn.LET(
  _xlpm.ids, VALUE(_xlfn.TEXTSPLIT(SUBSTITUTE(A67,",",";"),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7" s="55" t="s">
        <v>98</v>
      </c>
      <c r="D67" s="15" t="s">
        <v>98</v>
      </c>
      <c r="E67" s="15" t="s">
        <v>1257</v>
      </c>
      <c r="F67" s="15"/>
      <c r="G67" s="15" t="s">
        <v>1258</v>
      </c>
      <c r="H67" s="15"/>
      <c r="I67" s="15"/>
      <c r="J67" s="15" t="s">
        <v>435</v>
      </c>
      <c r="K67" s="15" t="s">
        <v>437</v>
      </c>
      <c r="L67" s="15" t="s">
        <v>115</v>
      </c>
      <c r="M67" s="15"/>
      <c r="N67" s="15"/>
    </row>
    <row r="68" spans="1:14" ht="15" customHeight="1" x14ac:dyDescent="0.25">
      <c r="A68" s="47">
        <v>31</v>
      </c>
      <c r="B68" s="47" t="b" cm="1">
        <f t="array" ref="B68">_xlfn.LET(
  _xlpm.ids, VALUE(_xlfn.TEXTSPLIT(SUBSTITUTE(A68,",",";"),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0</v>
      </c>
      <c r="C68" s="47" t="s">
        <v>98</v>
      </c>
      <c r="D68" s="24" t="s">
        <v>98</v>
      </c>
      <c r="E68" s="24"/>
      <c r="F68" s="24"/>
      <c r="G68" s="24"/>
      <c r="H68" s="24"/>
      <c r="I68" s="24"/>
      <c r="J68" s="21" t="s">
        <v>1277</v>
      </c>
      <c r="K68" s="21" t="s">
        <v>129</v>
      </c>
      <c r="L68" s="24" t="s">
        <v>115</v>
      </c>
      <c r="M68" s="23"/>
      <c r="N68" s="21" t="s">
        <v>130</v>
      </c>
    </row>
    <row r="69" spans="1:14" ht="15" customHeight="1" x14ac:dyDescent="0.25">
      <c r="A69" s="44">
        <v>9</v>
      </c>
      <c r="B69" s="44" t="b" cm="1">
        <f t="array" ref="B69">_xlfn.LET(
  _xlpm.ids, VALUE(_xlfn.TEXTSPLIT(SUBSTITUTE(A69,",",";"), ";", " ", TRUE)),
  _xlpm.status_list, _xlfn.MAP(_xlpm.ids, _xlfn.LAMBDA(_xlpm.id,
    _xlfn.LET(
      _xlpm.lookup_val, _xlfn.XLOOKUP(_xlpm.id, 'Article list'!$A$2:$A$995, 'Article list'!$H$2:$H$995, ""),
      AND(_xlpm.lookup_val &lt;&gt; "", _xlpm.lookup_val &lt;&gt; 0)
    )
  )),
  _xlpm.total_count, COUNTA(_xlpm.ids),
  _xlpm.excluded_count, SUM(--_xlpm.status_list),
  _xlfn.IFS(
    _xlpm.excluded_count = _xlpm.total_count, TRUE,
    _xlpm.excluded_count = 0, FALSE,
    TRUE, "partial"
  )
)</f>
        <v>1</v>
      </c>
      <c r="C69" s="44" t="s">
        <v>98</v>
      </c>
      <c r="D69" s="10" t="s">
        <v>98</v>
      </c>
      <c r="E69" s="10"/>
      <c r="F69" s="10"/>
      <c r="G69" s="10" t="s">
        <v>1258</v>
      </c>
      <c r="H69" s="10"/>
      <c r="I69" s="10"/>
      <c r="J69" s="4" t="s">
        <v>145</v>
      </c>
      <c r="K69" s="4" t="s">
        <v>112</v>
      </c>
      <c r="L69" s="10" t="s">
        <v>144</v>
      </c>
      <c r="M69" s="10"/>
      <c r="N69" s="10"/>
    </row>
  </sheetData>
  <autoFilter ref="A1:N69" xr:uid="{97F025A1-E60C-4445-B16F-04B60C6116E7}">
    <sortState xmlns:xlrd2="http://schemas.microsoft.com/office/spreadsheetml/2017/richdata2" ref="A2:N87">
      <sortCondition ref="J1:J87"/>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84DDF50008434FA8E10BB068786C66" ma:contentTypeVersion="16" ma:contentTypeDescription="Create a new document." ma:contentTypeScope="" ma:versionID="ba7e2784701ca28a0243c4941af85ed9">
  <xsd:schema xmlns:xsd="http://www.w3.org/2001/XMLSchema" xmlns:xs="http://www.w3.org/2001/XMLSchema" xmlns:p="http://schemas.microsoft.com/office/2006/metadata/properties" xmlns:ns2="3857e100-fcb7-4ce6-858d-74ef5ad42207" xmlns:ns3="282d74a5-39ab-4a22-b91d-44064c987628" targetNamespace="http://schemas.microsoft.com/office/2006/metadata/properties" ma:root="true" ma:fieldsID="ffd39bb36f6487924a7eec101b2df019" ns2:_="" ns3:_="">
    <xsd:import namespace="3857e100-fcb7-4ce6-858d-74ef5ad42207"/>
    <xsd:import namespace="282d74a5-39ab-4a22-b91d-44064c9876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57e100-fcb7-4ce6-858d-74ef5ad422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b0b881-3bf5-4493-8d21-dd6cf614d6f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82d74a5-39ab-4a22-b91d-44064c98762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a61e2c4-22de-482a-9406-91c714d0e7da}" ma:internalName="TaxCatchAll" ma:showField="CatchAllData" ma:web="282d74a5-39ab-4a22-b91d-44064c9876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857e100-fcb7-4ce6-858d-74ef5ad42207">
      <Terms xmlns="http://schemas.microsoft.com/office/infopath/2007/PartnerControls"/>
    </lcf76f155ced4ddcb4097134ff3c332f>
    <TaxCatchAll xmlns="282d74a5-39ab-4a22-b91d-44064c987628" xsi:nil="true"/>
  </documentManagement>
</p:properties>
</file>

<file path=customXml/itemProps1.xml><?xml version="1.0" encoding="utf-8"?>
<ds:datastoreItem xmlns:ds="http://schemas.openxmlformats.org/officeDocument/2006/customXml" ds:itemID="{5102A112-929A-4234-B9D6-6446B3EC92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57e100-fcb7-4ce6-858d-74ef5ad42207"/>
    <ds:schemaRef ds:uri="282d74a5-39ab-4a22-b91d-44064c9876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54AF6D-F027-40A6-8238-488C1BA890C5}">
  <ds:schemaRefs>
    <ds:schemaRef ds:uri="http://schemas.microsoft.com/sharepoint/v3/contenttype/forms"/>
  </ds:schemaRefs>
</ds:datastoreItem>
</file>

<file path=customXml/itemProps3.xml><?xml version="1.0" encoding="utf-8"?>
<ds:datastoreItem xmlns:ds="http://schemas.openxmlformats.org/officeDocument/2006/customXml" ds:itemID="{5B81FB74-7F58-4EDB-A61F-06C0DA643100}">
  <ds:schemaRefs>
    <ds:schemaRef ds:uri="http://schemas.microsoft.com/office/2006/metadata/properties"/>
    <ds:schemaRef ds:uri="http://schemas.microsoft.com/office/infopath/2007/PartnerControls"/>
    <ds:schemaRef ds:uri="3857e100-fcb7-4ce6-858d-74ef5ad42207"/>
    <ds:schemaRef ds:uri="282d74a5-39ab-4a22-b91d-44064c987628"/>
  </ds:schemaRefs>
</ds:datastoreItem>
</file>

<file path=docMetadata/LabelInfo.xml><?xml version="1.0" encoding="utf-8"?>
<clbl:labelList xmlns:clbl="http://schemas.microsoft.com/office/2020/mipLabelMetadata">
  <clbl:label id="{ddaa77bc-0157-46a4-82a6-8fc765694bc9}" enabled="1" method="Standar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Indicators - Classified</vt:lpstr>
      <vt:lpstr>Lens - Enfoque</vt:lpstr>
      <vt:lpstr>Article list</vt:lpstr>
      <vt:lpstr>Safety &amp; Security</vt:lpstr>
      <vt:lpstr>Mobility &amp; Transport</vt:lpstr>
      <vt:lpstr>Built Environment</vt:lpstr>
      <vt:lpstr>Ambient Environment</vt:lpstr>
      <vt:lpstr>Housing</vt:lpstr>
      <vt:lpstr>Economic Development</vt:lpstr>
      <vt:lpstr>Social Infrastructure</vt:lpstr>
      <vt:lpstr>Sociodemographics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Eugen Resendiz Bontrud</dc:creator>
  <cp:keywords/>
  <dc:description/>
  <cp:lastModifiedBy>Carl Higgs</cp:lastModifiedBy>
  <cp:revision/>
  <dcterms:created xsi:type="dcterms:W3CDTF">2026-07-02T17:40:21Z</dcterms:created>
  <dcterms:modified xsi:type="dcterms:W3CDTF">2026-08-04T12:18:00Z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0x0101001984DDF50008434FA8E10BB068786C66</vt:lpwstr>
  </property>
  <property fmtid="{D5CDD505-2E9C-101B-9397-08002B2CF9AE}" pid="3" name="MediaServiceImageTags">
    <vt:lpwstr/>
  </property>
  <property fmtid="{D5CDD505-2E9C-101B-9397-08002B2CF9AE}" pid="4" name="MSIP_Label_ddaa77bc-0157-46a4-82a6-8fc765694bc9_Enabled">
    <vt:lpwstr>true</vt:lpwstr>
  </property>
  <property fmtid="{D5CDD505-2E9C-101B-9397-08002B2CF9AE}" pid="5" name="MSIP_Label_ddaa77bc-0157-46a4-82a6-8fc765694bc9_SetDate">
    <vt:lpwstr>2026-07-16T23:49:22Z</vt:lpwstr>
  </property>
  <property fmtid="{D5CDD505-2E9C-101B-9397-08002B2CF9AE}" pid="6" name="MSIP_Label_ddaa77bc-0157-46a4-82a6-8fc765694bc9_Method">
    <vt:lpwstr>Standard</vt:lpwstr>
  </property>
  <property fmtid="{D5CDD505-2E9C-101B-9397-08002B2CF9AE}" pid="7" name="MSIP_Label_ddaa77bc-0157-46a4-82a6-8fc765694bc9_Name">
    <vt:lpwstr>Trusted Label</vt:lpwstr>
  </property>
  <property fmtid="{D5CDD505-2E9C-101B-9397-08002B2CF9AE}" pid="8" name="MSIP_Label_ddaa77bc-0157-46a4-82a6-8fc765694bc9_SiteId">
    <vt:lpwstr>d1323671-cdbe-4417-b4d4-bdb24b51316b</vt:lpwstr>
  </property>
  <property fmtid="{D5CDD505-2E9C-101B-9397-08002B2CF9AE}" pid="9" name="MSIP_Label_ddaa77bc-0157-46a4-82a6-8fc765694bc9_ActionId">
    <vt:lpwstr>50eeef50-5b08-45a5-9c00-6eaaa5b69420</vt:lpwstr>
  </property>
  <property fmtid="{D5CDD505-2E9C-101B-9397-08002B2CF9AE}" pid="10" name="MSIP_Label_ddaa77bc-0157-46a4-82a6-8fc765694bc9_ContentBits">
    <vt:lpwstr>0</vt:lpwstr>
  </property>
  <property fmtid="{D5CDD505-2E9C-101B-9397-08002B2CF9AE}" pid="11" name="MSIP_Label_ddaa77bc-0157-46a4-82a6-8fc765694bc9_Tag">
    <vt:lpwstr>10, 3, 0, 1</vt:lpwstr>
  </property>
</Properties>
</file>